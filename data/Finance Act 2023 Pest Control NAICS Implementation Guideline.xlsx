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400" activeTab="1"/>
  </bookViews>
  <sheets>
    <sheet name="Sheet1" sheetId="1" r:id="rId1"/>
    <sheet name="Sheet2" sheetId="2" r:id="rId2"/>
  </sheets>
  <definedNames>
    <definedName name="_xlnm._FilterDatabase" localSheetId="0" hidden="1">Sheet1!$A$3:$J$293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<sst xmlns="http://schemas.openxmlformats.org/spreadsheetml/2006/main" count="1128" uniqueCount="341">
  <si>
    <t>CATEORIES OF PREMISES</t>
  </si>
  <si>
    <t>PARAM ETER</t>
  </si>
  <si>
    <t>PARAM ETER
(SqM)</t>
  </si>
  <si>
    <t>Nairobi County Finance Act 2023</t>
  </si>
  <si>
    <t>Pest Control Application Fees</t>
  </si>
  <si>
    <t>Fumigation/ Disinfection</t>
  </si>
  <si>
    <t>Termites</t>
  </si>
  <si>
    <t>Snakes</t>
  </si>
  <si>
    <t>Rodents</t>
  </si>
  <si>
    <r>
      <rPr>
        <b/>
        <sz val="8"/>
        <rFont val="Times New Roman"/>
        <charset val="134"/>
      </rPr>
      <t xml:space="preserve">IPM Audits &amp; Certification </t>
    </r>
    <r>
      <rPr>
        <sz val="8"/>
        <rFont val="Times New Roman"/>
        <charset val="134"/>
      </rPr>
      <t>(200Kshs/ SqM)</t>
    </r>
  </si>
  <si>
    <t>Total Finance Act 2023 Fees</t>
  </si>
  <si>
    <t>Service (Use of  Pesticides, biological Methods, Mitigation Measures)</t>
  </si>
  <si>
    <t>1000 GENERAL TRADERS SHOPS AND RETAIL SERVICES</t>
  </si>
  <si>
    <t>Distributors, traders, wholesalers, hypermarkets, department stores, supermarkets, show rooms, boutiques, retail shops &amp; stores, chemists, take-away butcheries, personal service providers, kiosks.</t>
  </si>
  <si>
    <r>
      <rPr>
        <sz val="10"/>
        <color theme="1"/>
        <rFont val="Times New Roman"/>
        <charset val="134"/>
      </rPr>
      <t>Hyper – Supermarket: over 100 employees/over 5000 sq.m</t>
    </r>
  </si>
  <si>
    <t>Space in Sq m.</t>
  </si>
  <si>
    <t>Mega – supermarkets: 76 – 100 employees/ 4001 – 5000 sq.m</t>
  </si>
  <si>
    <t>Large Supermarket: 51-75 employees/ 3001 – 4000 sq. m. m/prime location</t>
  </si>
  <si>
    <t>Medium Supermarket:21-50 employees/2001-3000 sq.m</t>
  </si>
  <si>
    <t>Small Supermarket:1-20 employees/Upto-2000 sq.m</t>
  </si>
  <si>
    <r>
      <rPr>
        <b/>
        <sz val="10"/>
        <color theme="1"/>
        <rFont val="Times New Roman"/>
        <charset val="134"/>
      </rPr>
      <t>Hyper – Non Food:</t>
    </r>
    <r>
      <rPr>
        <sz val="10"/>
        <color theme="1"/>
        <rFont val="Times New Roman"/>
        <charset val="134"/>
      </rPr>
      <t xml:space="preserve"> over 100 employees/over 5000 sq.m</t>
    </r>
  </si>
  <si>
    <t>Mega – Non Food: 76 – 100 employees/ 4001 – 5000 sq.m</t>
  </si>
  <si>
    <t>Large  – Non Food: 51-75 employees/ 3001 – 4000 sq. m. m/prime location</t>
  </si>
  <si>
    <t>Medium – Non Food:21-50 employees/2001-3000 sq.m</t>
  </si>
  <si>
    <t>Small  – Non Food:1-20 employees/Upto-2000 sq.m</t>
  </si>
  <si>
    <t>Large butchery shop or retail service: over 5 employees/over 30sq.m</t>
  </si>
  <si>
    <t>Medium butchery shop or retail service: 3-5 employees/5-30sq.m</t>
  </si>
  <si>
    <t>Small butchery shop or retail service: upto 2 employees/less than 5sq.m</t>
  </si>
  <si>
    <t>Large trader shop/Agency  or retail service: over 5 employees/over 300sq.m</t>
  </si>
  <si>
    <t>Medium trader shop/Agency retail service: 3-5 employees/50-300sq.m</t>
  </si>
  <si>
    <t>Small trader shop/Agency or retail service: upto 2 employees/less than 50sq.m</t>
  </si>
  <si>
    <t>Large Non Food trader shop/Agency  or retail service: over 5 employees/over 300sq.m</t>
  </si>
  <si>
    <t>Medium  Non Food trader shop/Agency retail service: 3-5 employees/50-300sq.m</t>
  </si>
  <si>
    <t>Small  Non Food trader shop/Agency or retail service: upto 2 employees/less than 50sq.m</t>
  </si>
  <si>
    <t xml:space="preserve">Kiosk: Light or temporary construction less than  5sq.m </t>
  </si>
  <si>
    <t>All shops and retail services in Nairobi City County owned Markets</t>
  </si>
  <si>
    <t>Nairobi City County owned Markets</t>
  </si>
  <si>
    <t>All non food shops and retail services in Nairobi City County owned Markets</t>
  </si>
  <si>
    <t>Hyper - Chemist/Pharmacy</t>
  </si>
  <si>
    <t>Mega - Chemist/Pharmacy</t>
  </si>
  <si>
    <t>Large - Chemist/Pharmacy</t>
  </si>
  <si>
    <t>Medium - Chemist/Pharmacy</t>
  </si>
  <si>
    <t>Small - Chemist/Pharmacy</t>
  </si>
  <si>
    <t>Hyper - Distributor</t>
  </si>
  <si>
    <t>Mega - Distributor</t>
  </si>
  <si>
    <t>Large - Distributor</t>
  </si>
  <si>
    <t>Medium - Distributor</t>
  </si>
  <si>
    <t>Small - Distributor</t>
  </si>
  <si>
    <t>Hyper - Wholesaler</t>
  </si>
  <si>
    <t>Mega - Wholesaler</t>
  </si>
  <si>
    <t>Large - Wholesaler</t>
  </si>
  <si>
    <t>Medium - Wholesaler</t>
  </si>
  <si>
    <t>Small - Wholesaler</t>
  </si>
  <si>
    <t>Hyper - Wholesaler-Non Food</t>
  </si>
  <si>
    <t>Mega - Wholesaler-Non Food</t>
  </si>
  <si>
    <t>Large - Wholesaler-Non Food</t>
  </si>
  <si>
    <t>Medium - Wholesaler-Non Food</t>
  </si>
  <si>
    <t>Small - Wholesaler-Non Food</t>
  </si>
  <si>
    <t>Hyper - Wines and Spirits</t>
  </si>
  <si>
    <t>Mega - Wines and Spirits</t>
  </si>
  <si>
    <t>Large - Wines and Spirits</t>
  </si>
  <si>
    <t>Medium - Wines and Spirits</t>
  </si>
  <si>
    <t>Small - Wines and Spirits 6-20 employees/ 501-2000 sq.m</t>
  </si>
  <si>
    <t>Mini - Wines and Spirits upto 5 employees/upto 500 sq.m</t>
  </si>
  <si>
    <t>Hyper - Soda Distributor</t>
  </si>
  <si>
    <t>Mega - Soda Distributor</t>
  </si>
  <si>
    <t>Large - Soda Distributor</t>
  </si>
  <si>
    <t>Medium - Soda Distributor</t>
  </si>
  <si>
    <t>Small - Soda Distributor</t>
  </si>
  <si>
    <t xml:space="preserve">Food Kiosk: Light or temporary construction less than  5sq.m </t>
  </si>
  <si>
    <t>2000 INFORMAL SECTOR</t>
  </si>
  <si>
    <t>Hawkers, street vendors &amp;  small traders and service providers operating on the street, verandah or temporary building.</t>
  </si>
  <si>
    <t>1 hawker with motor vehicle (food)</t>
  </si>
  <si>
    <t>No of hawkers</t>
  </si>
  <si>
    <t>1 hawker with motor vehicle (non-food)</t>
  </si>
  <si>
    <t>1 hawker without motor vehicle (food)</t>
  </si>
  <si>
    <t>1 hawker without motor vehicle (non-food)</t>
  </si>
  <si>
    <t>Small informal sector trader / service provider e.g. shoe shiner,shoe repairer, street vendor (non-food)</t>
  </si>
  <si>
    <t>Trader/Service provider</t>
  </si>
  <si>
    <t>Small informal sector trader / service provider/ street vendor (soda, sweets,Cigarettes etc.)</t>
  </si>
  <si>
    <t>Semi-permanent informal sector trader: up to 2 persons in verandah or temporary building(newspapers &amp; book sellers)</t>
  </si>
  <si>
    <t>300 TRANSPORT, STORAGE AND COMMUNICATIONS</t>
  </si>
  <si>
    <t>Maritime &amp; air lines, international carriers, transportation co operating taxis-matatus-buses-lorries-planes-boats. driving schools, tour / safari operators.  petrol stations, storage facilities, cold storage facilities; publishing co, newspapers, bo</t>
  </si>
  <si>
    <t>Large Transport Company: with over 10 aeroplanes/International Airlines</t>
  </si>
  <si>
    <t>No of aeroplanes</t>
  </si>
  <si>
    <t>Medium Transport Company: with 6-10 aeroplanes</t>
  </si>
  <si>
    <t>Small- Transportation Company: with up to 5 aeroplanes</t>
  </si>
  <si>
    <t>Mega Transport Company: with over 100 vehicles</t>
  </si>
  <si>
    <t>No of vehicles</t>
  </si>
  <si>
    <t xml:space="preserve">Large Transport Company: with 51-100 vehicles </t>
  </si>
  <si>
    <t xml:space="preserve">Medium Transport Company: with 31-50 vehicles </t>
  </si>
  <si>
    <t>Small Transportation Company: with 6-30 vehicles</t>
  </si>
  <si>
    <t>Mini- Transportation Company: with 2 to 5 vehicles</t>
  </si>
  <si>
    <t>Independent  Transport Operator: with 1 vehicle 1Taxi &amp; without an office</t>
  </si>
  <si>
    <t>Public transport vehicle 33no and above passangers</t>
  </si>
  <si>
    <t>Vehicle capacity</t>
  </si>
  <si>
    <t>Public transport vehicle 19no - 32no passangers</t>
  </si>
  <si>
    <t>Public transport vehicle 15no -18no passangers</t>
  </si>
  <si>
    <t>Public transport vehicle below 14no passangers</t>
  </si>
  <si>
    <t>Large filling station: over 10 pump Nozzles or with garage/workshop and spares retail shop</t>
  </si>
  <si>
    <t>No of Nozzles</t>
  </si>
  <si>
    <t>Medium filling station: 6-10 pump Nozzles or with garage / workshop or spares retail shop</t>
  </si>
  <si>
    <t>Small filling station: 3-5 pump Nozzles and without garage/workshop or retail shop</t>
  </si>
  <si>
    <t>Mini filling station: Up to 2 pump Nozzles and without garage/workshop or retail shop</t>
  </si>
  <si>
    <t>Gas filling depot</t>
  </si>
  <si>
    <t>Per depot</t>
  </si>
  <si>
    <t>Large Fuel Dispensers with over 4 dispensers</t>
  </si>
  <si>
    <t>No of dispensers</t>
  </si>
  <si>
    <t>Medium Fuel Dispensers with 2 - 3 dispensers</t>
  </si>
  <si>
    <t>Small Fuel Dispenser with 1 dispenser</t>
  </si>
  <si>
    <t>Large Cooking Gas with over 4 dispensers</t>
  </si>
  <si>
    <t>Medium Cooking Gas with 2 - 3 dispensers</t>
  </si>
  <si>
    <t>Small Cooking Gas with 1 dispenser</t>
  </si>
  <si>
    <t>Large Milk Dispensers with over 4 dispensers</t>
  </si>
  <si>
    <t>Medium Milk Dispensers with 2 - 3 dispensers</t>
  </si>
  <si>
    <t>Small Milk Dispenser with 1 dispenser</t>
  </si>
  <si>
    <t>Large Water Dispensers with over 4 dispensers</t>
  </si>
  <si>
    <t>Medium Water Dispensers with 2 - 3 dispensers</t>
  </si>
  <si>
    <t>Small Water Dispenser with 1 dispenser</t>
  </si>
  <si>
    <t>Large Car Gas Refilling Station with over 10 nozzles</t>
  </si>
  <si>
    <t>Medium Car Gas Refilling station with 6 - 10 nozzles</t>
  </si>
  <si>
    <t>Small Car Gas Refilling Station with 3 - 5 nozzles</t>
  </si>
  <si>
    <t>Mini Car Gas Refilling Station with up to 2 nozzles</t>
  </si>
  <si>
    <t>Large Electric Vehicle Charging Station with over 10 Charging Ports</t>
  </si>
  <si>
    <t>No of Charging ports</t>
  </si>
  <si>
    <t>Medium Electric Vehicle Charging Stations with 6 - 10 Charging Ports</t>
  </si>
  <si>
    <t>Small Electric Vehicle Charging Station with 3 - 5 Charging Ports</t>
  </si>
  <si>
    <t>Mini Electric Vehicle Charging Station with up to 2 Charging Ports</t>
  </si>
  <si>
    <t>Large food cold storage facility: over 1000sq. m</t>
  </si>
  <si>
    <t>Large non-food cold storage facility: over 1000sq. m</t>
  </si>
  <si>
    <t>Medium food cold storage facility: from 101-1,000sq. m</t>
  </si>
  <si>
    <t>Small food cold storage facility: up to 100sq. m</t>
  </si>
  <si>
    <t>Large food storage facility: over 3000 sq. m Go down/warehouse liquid storage tanks complex</t>
  </si>
  <si>
    <t>Large non-food storage facility: over 3000 sq. m Go down/warehouse liquid storage tanks complex</t>
  </si>
  <si>
    <t>Medium food storage facility: from 2001 – 3000sq. m</t>
  </si>
  <si>
    <t>Medium non-food storage facility: from 2001 – 3000sq. m</t>
  </si>
  <si>
    <t>Small Food Storage Facility: From 1001 - 2000 Sq.m</t>
  </si>
  <si>
    <t>Small Non-Food Storage Facility: From 1001 - 2000 Sq.m</t>
  </si>
  <si>
    <t>Mini food storage facility up to 1000sq. m</t>
  </si>
  <si>
    <t>Mini non-food storage facility up to 1000sq. m</t>
  </si>
  <si>
    <t>Large private vehicles parking capacity: over 100 vehicles</t>
  </si>
  <si>
    <t>Medium private vehicles parking: capacity 51-100 vehicles</t>
  </si>
  <si>
    <t>Small private vehicles parking capacity: 1-50 vehicles</t>
  </si>
  <si>
    <t>Hyper communications company: over 100 employees &amp;/or premises over 1500sq. m</t>
  </si>
  <si>
    <t>Mega  communications company: 61-100 employees &amp;/ or premises of 1001-1500sq. m</t>
  </si>
  <si>
    <t>Large communications company: 41-60 employees or premises of 501-1000sq. m</t>
  </si>
  <si>
    <t>Medium communications company: 21-40 employees &amp; / or premises of 301-500sq. m</t>
  </si>
  <si>
    <t>Small communications company: 6-20 employees &amp;/or upto 300 sq.m</t>
  </si>
  <si>
    <t>Mini communication company: Up to employees 5</t>
  </si>
  <si>
    <t>No of Employees</t>
  </si>
  <si>
    <t>Large Transport Network Companies (Uber, Taxify, Little Cab etc) capacity over 100 vehicles</t>
  </si>
  <si>
    <t>Medium Transport Network Companies (Uber, Taxify, Little Cab): Capacity 51-100 vehicles</t>
  </si>
  <si>
    <t>Small Transport Network Companies (Uber, Taxify, Little Cab etc): Capacity 1-50 vehicles</t>
  </si>
  <si>
    <t>LPG Dealers Large scale (above 50 cylinders)</t>
  </si>
  <si>
    <t>No of cylinders</t>
  </si>
  <si>
    <t>LPG Dealers Medium (20-50)</t>
  </si>
  <si>
    <t>LPG Dealers Small (10-20)</t>
  </si>
  <si>
    <t>4000 AGRICULTURE FORESTRY AND NATURAL RESOURCES</t>
  </si>
  <si>
    <t>Production of coffee, tea, fruits, flowers, cereals, vegetables and horticultural products.  grain storage and processing, mills &amp; posho mills, bakeries; forestry and timber production, sawmills, coal production; animal breeding, dairy products proce</t>
  </si>
  <si>
    <t>Mega agriculture producer, processor, dealer, exporter with over 60 employees</t>
  </si>
  <si>
    <t>No of employees</t>
  </si>
  <si>
    <t>Large agriculture producer, processor, dealer, exporter with 36-60 employees</t>
  </si>
  <si>
    <t>Medium agricultural producer, processor, dealer, exporter with 11-35 employees</t>
  </si>
  <si>
    <t>Small agricultural producer, processor, dealer, exporter with 4-10 employees(Commercial Boreholes)</t>
  </si>
  <si>
    <t>Mini agricultural producer, processor, dealer, exporter with up to 3 employees</t>
  </si>
  <si>
    <t>Mega Commercial coffee millers with over 10000 Metric Tons USD 2000</t>
  </si>
  <si>
    <t>No of Metric Tons</t>
  </si>
  <si>
    <t>Large Commercial coffee millers with 5001 -  10000 Metric Tons USD 1000</t>
  </si>
  <si>
    <t>Medium Commercial coffee millers with 3001 - 5000 Metric Tons USD 750</t>
  </si>
  <si>
    <t>Small Commercial coffee millers up to 3000 Metric Tons USD 500</t>
  </si>
  <si>
    <t>Mega Coffee Rosters with over 1000 bags</t>
  </si>
  <si>
    <t>No of bags</t>
  </si>
  <si>
    <t>Large Coffee Rosters with 501 - 1000 bags</t>
  </si>
  <si>
    <t>Medium Coffee Rosters with 101 - 500 bags</t>
  </si>
  <si>
    <t>Small Coffee Rosters with up to 100 bags</t>
  </si>
  <si>
    <t>Commercial coffee Warehouse with over 200000 bags 1000USD</t>
  </si>
  <si>
    <t>Commercial coffee Warehouse with 100001 - 200000 bags 1000USD</t>
  </si>
  <si>
    <t>Commercial coffee Warehouse with up to 100000 bags 750USD</t>
  </si>
  <si>
    <t>Large – Space&gt;=2.5ha/throughput – No of animals slaughtered per day &gt;=40 heads of cattle + 200 sheep and goats per day</t>
  </si>
  <si>
    <t>No of animals</t>
  </si>
  <si>
    <t>Medium – Space&gt;=0.5ha&lt;=2.49/throughput – No of animals slaughtered per day &gt;= 6-39 heads of cattle + 100 - 199 sheep and goats per day</t>
  </si>
  <si>
    <t>Small – Space&lt;0.5/throughput – No of animals slaughtered per day &lt;= 5 heads of cattle + &lt;100 sheep and goats per day</t>
  </si>
  <si>
    <t>Large mining or natural resources extraction operation with over 50 employees</t>
  </si>
  <si>
    <t>Medium Mining or Natural Resources Extraction operation with 4-50 employees</t>
  </si>
  <si>
    <t>Small Mining or Natural Resources Extraction operation with 1-3 employees</t>
  </si>
  <si>
    <t>Mini agricultural, forestry and natural resources exploitation: 1 person acting individually</t>
  </si>
  <si>
    <t>5000 ACCOMMODATION AND CATERING</t>
  </si>
  <si>
    <t>International hotels, tourists camps, lodging houses, restaurants, bars, eating houses, tea &amp; coffee houses.  butcheries with meat roasting &amp;/or soup kitchen facilities.  membership clubs, night clubs &amp; casinos.</t>
  </si>
  <si>
    <t>Large fully serviced and furnished apartments with over 10 apartments/ABNBs</t>
  </si>
  <si>
    <t>No of apartments</t>
  </si>
  <si>
    <t>Medium fully serviced and furnished apartments with 6-10 apartments/ABNBs</t>
  </si>
  <si>
    <t>Small fully serviced and furnished apartments with 3-5 apartments/ABNBs</t>
  </si>
  <si>
    <t>Mini fully serviced and furnished apartments with 1-2 apartments/ABNBs</t>
  </si>
  <si>
    <t>Large high standards hotel/accommodation facility with over 100 rooms</t>
  </si>
  <si>
    <t>No of Rooms</t>
  </si>
  <si>
    <t>Medium high standards hotel /accommodation facility with over 41 - 100 rooms</t>
  </si>
  <si>
    <t>Small high standards hotel / accommodation facility with upto 40 rooms</t>
  </si>
  <si>
    <t>Large lodging house with restaurant or bar with over 15 rooms</t>
  </si>
  <si>
    <t>Medium lodging house with restaurant or bar with 6-15 rooms</t>
  </si>
  <si>
    <t>Small lodging house with restaurant or bar with upto 5 rooms</t>
  </si>
  <si>
    <t>Large lodging house with over 15 rooms</t>
  </si>
  <si>
    <t>Medium Lodging house with 6 to 15 rooms</t>
  </si>
  <si>
    <t xml:space="preserve">Small lodging house with up to 5 rooms </t>
  </si>
  <si>
    <t>Hyper  restaurant with bar with over 100 seats</t>
  </si>
  <si>
    <t>No of Seats</t>
  </si>
  <si>
    <t>Mega restaurant with bar with 71-100 seats</t>
  </si>
  <si>
    <t>Large restaurant with bar with 31-70 seats</t>
  </si>
  <si>
    <t>Medium restaurant with bar 11to 30 seats</t>
  </si>
  <si>
    <t>Small restaurant with bar up to 10 seats</t>
  </si>
  <si>
    <t>Mega eating house/snack bar/ tea house with no lodging or alcohol served with over 50 Seats</t>
  </si>
  <si>
    <t>Large eating house/snack bar/tea house with no lodging or alcohol served with 21-50 Seats</t>
  </si>
  <si>
    <t>Medium eating house: snack bar/tea house with no lodging or alcohol served: 6-20 Seats</t>
  </si>
  <si>
    <t>Small eating house, snack bar/tea house with no lodging or alcohol served up to 5 Seats</t>
  </si>
  <si>
    <t>Large outside catering services with over 5 employees</t>
  </si>
  <si>
    <t>Medium outside Catering Services with 3 to 5 emplyees</t>
  </si>
  <si>
    <t>Small outside Catering Services with up to 2 employees</t>
  </si>
  <si>
    <t>Mega food trucks of Triple Axle Group (12 wheels-dual tyres and above)</t>
  </si>
  <si>
    <t>No of wheels</t>
  </si>
  <si>
    <t>Large food trucks of Tandem Axle Group (8 - 10 wheels- dual tyres)</t>
  </si>
  <si>
    <t>Medium food trucks of Single Axle (4 - 6 wheels fitted with dual tyres)</t>
  </si>
  <si>
    <t>Small food trucks of Single Steering Axle (2 wheels fitted with single tyres)</t>
  </si>
  <si>
    <t>Large bar/traditional beer seller: over 50 Seats</t>
  </si>
  <si>
    <t>Medium bar/traditional beer seller: 16-50 Seats</t>
  </si>
  <si>
    <t>Small bar/traditional beer seller: up to 15 Seats</t>
  </si>
  <si>
    <t>Large night club with over 50 seats</t>
  </si>
  <si>
    <t>Medium night club 16 - 50 seats</t>
  </si>
  <si>
    <t>Small night club with upto 15 seats</t>
  </si>
  <si>
    <t>Large Commercial kitchen with over 20 employees</t>
  </si>
  <si>
    <t>Medium Commercial kitchen with between 5 - 20 employees</t>
  </si>
  <si>
    <t>Small commercial kitchen with upto 4 employees</t>
  </si>
  <si>
    <t>Large Non Commercial kitchen with over 20 employees</t>
  </si>
  <si>
    <t>Medium Non Commercial kitchen with between 5 - 20 employees</t>
  </si>
  <si>
    <t>Small Non commercial kitchen with upto 4 employees</t>
  </si>
  <si>
    <t>6000 PROFESSIONAL, TECHNICAL AND FINANCIAL SERVICES</t>
  </si>
  <si>
    <t>Firms and/or individual offering services on legal issues, financial, management, engineering, architecture, valuing, surveying, accountancy, secretarial support, data processing, etc; stock &amp; insurance brokering, security-protection, customs clearin</t>
  </si>
  <si>
    <t xml:space="preserve">Mega professional services firm with over 100 employees/ professionals. Technicians guards etc. </t>
  </si>
  <si>
    <t xml:space="preserve">Large professional services firm with 51- 100 employees/ professionals. Technicians guards etc. </t>
  </si>
  <si>
    <t xml:space="preserve">Medium professional services firm with over 21-50 employees/ professional/ technicians/ guards etc. </t>
  </si>
  <si>
    <t xml:space="preserve">Small professional services firm with 6-20 employees/professionals/technicians/guards etc. </t>
  </si>
  <si>
    <t>Mini professional services firm with 1-5 employees/ professionals. Technicians guards etc.</t>
  </si>
  <si>
    <t xml:space="preserve">Large financial services including Saccos and co-operative societies with over 25 employees </t>
  </si>
  <si>
    <t xml:space="preserve">Medium financial services including Saccos and co-operative societies with 6-25 employees </t>
  </si>
  <si>
    <t xml:space="preserve">Small financial  services including Saccos and co-operative societies with up to 5 employees </t>
  </si>
  <si>
    <t>Mini financial services including financial consultants/ creditors/ loans on assets firms with no money accounts / 1 person acting individually etc</t>
  </si>
  <si>
    <t>Large financial agent and M-pesa over 5 outlets</t>
  </si>
  <si>
    <t>No of Outlets</t>
  </si>
  <si>
    <t>Medium financial agent and M-pesa with 2-5 outlets</t>
  </si>
  <si>
    <t>Small financial agent and M-pesa upto 1 outlet</t>
  </si>
  <si>
    <t>Money points : above 5 ATMs. Money machines separate from branch/office</t>
  </si>
  <si>
    <t>No of ATMs</t>
  </si>
  <si>
    <t>Money points : 3 - 5 ATMs. Money machines separate from branch/office</t>
  </si>
  <si>
    <t>Money points : up to 2 ATMs. Money machines separate from branch/office</t>
  </si>
  <si>
    <t>Large cyber cafes/bureau with over 20 computers/machines</t>
  </si>
  <si>
    <t>No of Machines</t>
  </si>
  <si>
    <t>Medium Cyber Cafes/bureau with 6-20 computer/ machines</t>
  </si>
  <si>
    <t>Small Cyber Cafes/ bureau with 1-5 computer/machines</t>
  </si>
  <si>
    <t>Large private markets with over 1,000sq.m</t>
  </si>
  <si>
    <t>Space in sq m.</t>
  </si>
  <si>
    <t>Medium private markets with from 501-1,000sq.m</t>
  </si>
  <si>
    <t>Small private markets with upto 500sq.m</t>
  </si>
  <si>
    <t>7000 PRIVATE EDUCATION, HEALTH AND ENTERTAINMENT</t>
  </si>
  <si>
    <t>Private education institutions, including universities, museums, nurseries, primary and secondary schools, professional training centers / polytechnic institutes.  private health clinics nd doctor's surgeries; consulting offices of doctors, dentists</t>
  </si>
  <si>
    <t>Large private higher education institutions; any type of private university college or higher education institution with over 200 students.</t>
  </si>
  <si>
    <t>No of Students</t>
  </si>
  <si>
    <t>Medium Private higher education institutions; any type of private university college or higher education institution with 100-200 students</t>
  </si>
  <si>
    <t>Small Private higher education institutions; any type of private university college or higher education institution with Upto100 students</t>
  </si>
  <si>
    <t>Larger private education institutions ; nursery, primary and secondary schools with over 100 pupils</t>
  </si>
  <si>
    <t>No of Pupils</t>
  </si>
  <si>
    <t xml:space="preserve">Medium  private education institutions; nursery, primary and secondary schools with 31- 100 pupils </t>
  </si>
  <si>
    <t xml:space="preserve">Small private education institutions; nursery, primary and secondary schools with 16 - 30 pupils </t>
  </si>
  <si>
    <t xml:space="preserve">Mini private education institutions; Day care, nursery, primary and secondary schools with up to 15  pupils </t>
  </si>
  <si>
    <t>Large complementary education institutions over 350 pupils</t>
  </si>
  <si>
    <t>Medium complementary education institutions 201-350 pupils</t>
  </si>
  <si>
    <t>Small complementary education institutions 1-200 pupils</t>
  </si>
  <si>
    <t>Large Private Health Facility -  Level 6 Hospitals with over 100 beds overnight</t>
  </si>
  <si>
    <t>No of beds</t>
  </si>
  <si>
    <t>Medium Private Health Facility - Level 4 &amp; 5 hospitals with 31 - 100 beds</t>
  </si>
  <si>
    <t>Small Private Health Facility -  Level 3 hospitals with up to 30 beds</t>
  </si>
  <si>
    <t>Mini Private Health Facility -  Level 2 hospitals / dental / medical /eye clinics</t>
  </si>
  <si>
    <t>Mini Private Health Facility -  Professionals</t>
  </si>
  <si>
    <t>Small Private Ambulance Services Company</t>
  </si>
  <si>
    <t>Mini Private Ambulance Services Company</t>
  </si>
  <si>
    <t>Large  Private Ambulance Services Company</t>
  </si>
  <si>
    <t>Private Ambulance Vehicle</t>
  </si>
  <si>
    <t>Large Private Mortuary with over 30 bodies</t>
  </si>
  <si>
    <t>No of Bodies</t>
  </si>
  <si>
    <t>Medium Private Mortuary with 16 - 30 bodies</t>
  </si>
  <si>
    <t>Small Private Mortuary with up to 15 bodies</t>
  </si>
  <si>
    <t>Mini Traditional Health Services; Herbalist / Traditional Healer / Supplements</t>
  </si>
  <si>
    <t>Public Toilets/biodigesters/septic tanks</t>
  </si>
  <si>
    <t>Mobile Toilets above 50</t>
  </si>
  <si>
    <t>No of Toilets</t>
  </si>
  <si>
    <t>Mobile Toilets 21-50</t>
  </si>
  <si>
    <t>Mobile Toilets 11-20</t>
  </si>
  <si>
    <t>Mobile Toilets 1-10</t>
  </si>
  <si>
    <t>Large entertainment facility; cinema / theatre / video show/ bowling with over 100seats</t>
  </si>
  <si>
    <t>Medium entertainment facility cinema / theatre / video show/ bowling with 51-100 seats</t>
  </si>
  <si>
    <t>Small entertainment facility cinema / theatre / video show/ bowling with upto 50 seats</t>
  </si>
  <si>
    <t>Large entertainment facility; amusement arcade/ games machines arcade with over 10 machines</t>
  </si>
  <si>
    <t>Medium entertainment facility amusement arcade/ games machines arcade with 4-10 machines</t>
  </si>
  <si>
    <t>Small entertainment facility amusement arcade/ games machines arcade with upto 3 machines</t>
  </si>
  <si>
    <t>Large sport club/gym with over 50 members</t>
  </si>
  <si>
    <t>No of Members</t>
  </si>
  <si>
    <t>Medium sport club/gym with 16 - 50 members</t>
  </si>
  <si>
    <t>Small sport club/gym facility with upto 15 members</t>
  </si>
  <si>
    <t>Large entertainment machines with over 5 play stations</t>
  </si>
  <si>
    <t>Medium entertainment machines with 3- 5 play stations</t>
  </si>
  <si>
    <t>Small entertainment machines with upto 2 play stations</t>
  </si>
  <si>
    <t>Large entertainment machines with over 5 pool tables</t>
  </si>
  <si>
    <t>No of Pool tables</t>
  </si>
  <si>
    <t>Medium entertainment machines with 3- 5 pool tables</t>
  </si>
  <si>
    <t>Small entertainment machines with upto 2 pool tables</t>
  </si>
  <si>
    <t>Large Massage parlour with over 5 beds</t>
  </si>
  <si>
    <t>No of Beds</t>
  </si>
  <si>
    <t>Medium Massage parlour with 3- 5 beds</t>
  </si>
  <si>
    <t>Small Massage parlour with upto 2 beds</t>
  </si>
  <si>
    <t>Large casino over 1000sq. m</t>
  </si>
  <si>
    <t>Medium casino 501-1000sq. m</t>
  </si>
  <si>
    <t>Small casino upto 500sq. m</t>
  </si>
  <si>
    <t>Betting shops</t>
  </si>
  <si>
    <t>Per shop</t>
  </si>
  <si>
    <t>Totalizer premises</t>
  </si>
  <si>
    <t>Per Premise</t>
  </si>
  <si>
    <t xml:space="preserve">8000 INDUSTRIAL PLANTS, FACTORIES, WORKSHOPS, CONTRACTORS </t>
  </si>
  <si>
    <t xml:space="preserve">Large food industrial plant with over 100 employees </t>
  </si>
  <si>
    <t xml:space="preserve">Medium food industrial plant with over 51-100 employees </t>
  </si>
  <si>
    <t xml:space="preserve">Small food industrial plant with over 16-50 employees </t>
  </si>
  <si>
    <t xml:space="preserve">Mini food industrial plant with 1 – 15 employees  </t>
  </si>
  <si>
    <t xml:space="preserve">Large non-food industrial plant with over 100 employees </t>
  </si>
  <si>
    <t xml:space="preserve">Medium non-food industrial plant with over 51-100 employees </t>
  </si>
  <si>
    <t xml:space="preserve">Small non-food industrial plant with over 16-50 employees </t>
  </si>
  <si>
    <t xml:space="preserve">Mini non-food industrial plant with 1 – 15 employees  </t>
  </si>
  <si>
    <t xml:space="preserve">Mega workshop / service / repair contractor with over 100 employees </t>
  </si>
  <si>
    <t xml:space="preserve">Large workshop / service / repair contractor with 51-100 employees </t>
  </si>
  <si>
    <t>Medium workshop / service / repair contractor with 21--50 employees</t>
  </si>
  <si>
    <t>Small workshop / service / repair contractor with 6-20 employees</t>
  </si>
  <si>
    <t>Mini workshop / factory / contractor/posho mill/printers with Up to 5  employees</t>
  </si>
  <si>
    <t>NCCG</t>
  </si>
  <si>
    <t>Vendor</t>
  </si>
  <si>
    <t>Total IPM Audit</t>
  </si>
  <si>
    <t>Service (Use of  IPM Methods &amp; Mitigation Measures)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</si>
</sst>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(* #,##0_);_(* \(#,##0\);_(* &quot;-&quot;??_);_(@_)"/>
    <numFmt numFmtId="180" formatCode="_-* #,##0_-;\-* #,##0_-;_-* &quot;-&quot;??_-;_-@"/>
  </numFmts>
  <fonts count="4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8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8"/>
      <name val="Calibri"/>
      <charset val="134"/>
      <scheme val="minor"/>
    </font>
    <font>
      <b/>
      <sz val="8"/>
      <name val="Times New Roman"/>
      <charset val="134"/>
    </font>
    <font>
      <b/>
      <sz val="10"/>
      <name val="Times New Roman"/>
      <charset val="134"/>
    </font>
    <font>
      <b/>
      <sz val="10"/>
      <color theme="0"/>
      <name val="Times New Roman"/>
      <charset val="134"/>
    </font>
    <font>
      <sz val="10"/>
      <color theme="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8"/>
      <name val="Calibri"/>
      <charset val="134"/>
    </font>
    <font>
      <sz val="10"/>
      <color theme="1"/>
      <name val="Times New Roman"/>
      <charset val="134"/>
    </font>
    <font>
      <b/>
      <sz val="8"/>
      <color theme="0"/>
      <name val="Times New Roman"/>
      <charset val="134"/>
    </font>
    <font>
      <sz val="8"/>
      <color theme="0"/>
      <name val="Calibri"/>
      <charset val="134"/>
    </font>
    <font>
      <b/>
      <sz val="10"/>
      <color rgb="FFFFFFFF"/>
      <name val="Times New Roman"/>
      <charset val="134"/>
    </font>
    <font>
      <b/>
      <sz val="8"/>
      <color rgb="FFFFFFFF"/>
      <name val="Times New Roman"/>
      <charset val="134"/>
    </font>
    <font>
      <sz val="10"/>
      <color rgb="FFFF0000"/>
      <name val="Carlito"/>
      <charset val="134"/>
    </font>
    <font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rgb="FFD6DCE4"/>
      </patternFill>
    </fill>
    <fill>
      <patternFill patternType="solid">
        <fgColor rgb="FF00B050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theme="1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1" applyNumberFormat="0" applyAlignment="0" applyProtection="0">
      <alignment vertical="center"/>
    </xf>
    <xf numFmtId="0" fontId="30" fillId="9" borderId="12" applyNumberFormat="0" applyAlignment="0" applyProtection="0">
      <alignment vertical="center"/>
    </xf>
    <xf numFmtId="0" fontId="31" fillId="9" borderId="11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178" fontId="3" fillId="0" borderId="0" xfId="1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8" fontId="6" fillId="5" borderId="5" xfId="1" applyNumberFormat="1" applyFont="1" applyFill="1" applyBorder="1" applyAlignment="1">
      <alignment horizontal="center" vertical="center" wrapText="1"/>
    </xf>
    <xf numFmtId="178" fontId="6" fillId="5" borderId="5" xfId="1" applyNumberFormat="1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top"/>
    </xf>
    <xf numFmtId="178" fontId="8" fillId="6" borderId="5" xfId="1" applyNumberFormat="1" applyFont="1" applyFill="1" applyBorder="1" applyAlignment="1">
      <alignment horizontal="left" vertical="top"/>
    </xf>
    <xf numFmtId="178" fontId="8" fillId="6" borderId="5" xfId="1" applyNumberFormat="1" applyFont="1" applyFill="1" applyBorder="1" applyAlignment="1">
      <alignment vertical="top"/>
    </xf>
    <xf numFmtId="0" fontId="9" fillId="6" borderId="5" xfId="0" applyFont="1" applyFill="1" applyBorder="1" applyAlignment="1">
      <alignment horizontal="left" vertical="top"/>
    </xf>
    <xf numFmtId="178" fontId="9" fillId="6" borderId="5" xfId="1" applyNumberFormat="1" applyFont="1" applyFill="1" applyBorder="1" applyAlignment="1">
      <alignment horizontal="left" vertical="top"/>
    </xf>
    <xf numFmtId="178" fontId="9" fillId="6" borderId="5" xfId="1" applyNumberFormat="1" applyFont="1" applyFill="1" applyBorder="1" applyAlignment="1">
      <alignment vertical="top"/>
    </xf>
    <xf numFmtId="0" fontId="10" fillId="0" borderId="5" xfId="0" applyFont="1" applyFill="1" applyBorder="1" applyAlignment="1">
      <alignment vertical="top" wrapText="1"/>
    </xf>
    <xf numFmtId="179" fontId="10" fillId="0" borderId="5" xfId="0" applyNumberFormat="1" applyFont="1" applyFill="1" applyBorder="1" applyAlignment="1">
      <alignment vertical="top" wrapText="1"/>
    </xf>
    <xf numFmtId="0" fontId="11" fillId="0" borderId="5" xfId="0" applyFont="1" applyFill="1" applyBorder="1" applyAlignment="1">
      <alignment vertical="top"/>
    </xf>
    <xf numFmtId="178" fontId="12" fillId="0" borderId="5" xfId="1" applyNumberFormat="1" applyFont="1" applyFill="1" applyBorder="1" applyAlignment="1">
      <alignment vertical="top"/>
    </xf>
    <xf numFmtId="0" fontId="13" fillId="0" borderId="5" xfId="0" applyFont="1" applyFill="1" applyBorder="1" applyAlignment="1">
      <alignment vertical="top" wrapText="1"/>
    </xf>
    <xf numFmtId="0" fontId="14" fillId="6" borderId="5" xfId="0" applyFont="1" applyFill="1" applyBorder="1" applyAlignment="1">
      <alignment vertical="top"/>
    </xf>
    <xf numFmtId="0" fontId="9" fillId="6" borderId="5" xfId="0" applyFont="1" applyFill="1" applyBorder="1" applyAlignment="1">
      <alignment horizontal="left" vertical="top" wrapText="1"/>
    </xf>
    <xf numFmtId="0" fontId="15" fillId="6" borderId="5" xfId="0" applyFont="1" applyFill="1" applyBorder="1" applyAlignment="1">
      <alignment vertical="top" wrapText="1"/>
    </xf>
    <xf numFmtId="180" fontId="11" fillId="0" borderId="5" xfId="0" applyNumberFormat="1" applyFont="1" applyFill="1" applyBorder="1" applyAlignment="1">
      <alignment vertical="top" wrapText="1"/>
    </xf>
    <xf numFmtId="0" fontId="16" fillId="6" borderId="5" xfId="0" applyFont="1" applyFill="1" applyBorder="1" applyAlignment="1">
      <alignment horizontal="left" vertical="top" readingOrder="1"/>
    </xf>
    <xf numFmtId="0" fontId="17" fillId="6" borderId="5" xfId="0" applyFont="1" applyFill="1" applyBorder="1" applyAlignment="1">
      <alignment vertical="top" readingOrder="1"/>
    </xf>
    <xf numFmtId="0" fontId="15" fillId="6" borderId="5" xfId="0" applyFont="1" applyFill="1" applyBorder="1" applyAlignment="1">
      <alignment vertical="top"/>
    </xf>
    <xf numFmtId="0" fontId="18" fillId="0" borderId="5" xfId="0" applyFont="1" applyFill="1" applyBorder="1" applyAlignment="1">
      <alignment vertical="top"/>
    </xf>
    <xf numFmtId="0" fontId="10" fillId="0" borderId="5" xfId="0" applyFont="1" applyFill="1" applyBorder="1" applyAlignment="1">
      <alignment horizontal="left" vertical="top" wrapText="1"/>
    </xf>
    <xf numFmtId="179" fontId="10" fillId="0" borderId="5" xfId="0" applyNumberFormat="1" applyFont="1" applyFill="1" applyBorder="1" applyAlignment="1">
      <alignment horizontal="left" vertical="top" wrapText="1"/>
    </xf>
    <xf numFmtId="0" fontId="19" fillId="0" borderId="5" xfId="0" applyFont="1" applyFill="1" applyBorder="1" applyAlignment="1">
      <alignment horizontal="left" vertical="top" wrapText="1"/>
    </xf>
    <xf numFmtId="178" fontId="11" fillId="0" borderId="5" xfId="1" applyNumberFormat="1" applyFont="1" applyFill="1" applyBorder="1" applyAlignment="1">
      <alignment vertical="top"/>
    </xf>
    <xf numFmtId="178" fontId="2" fillId="0" borderId="0" xfId="1" applyNumberFormat="1" applyFont="1" applyFill="1" applyAlignment="1">
      <alignment vertical="top"/>
    </xf>
    <xf numFmtId="178" fontId="1" fillId="0" borderId="0" xfId="0" applyNumberFormat="1" applyFont="1" applyFill="1" applyAlignment="1">
      <alignment vertical="top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top"/>
    </xf>
    <xf numFmtId="178" fontId="20" fillId="0" borderId="5" xfId="1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19"/>
  <sheetViews>
    <sheetView workbookViewId="0">
      <pane ySplit="3" topLeftCell="A4" activePane="bottomLeft" state="frozen"/>
      <selection/>
      <selection pane="bottomLeft" activeCell="A1" sqref="$A1:$XFD1048576"/>
    </sheetView>
  </sheetViews>
  <sheetFormatPr defaultColWidth="15.3981481481481" defaultRowHeight="13.8"/>
  <cols>
    <col min="1" max="1" width="64" style="1" customWidth="1"/>
    <col min="2" max="3" width="14.6388888888889" style="1" customWidth="1"/>
    <col min="4" max="4" width="10.5555555555556" style="2" customWidth="1"/>
    <col min="5" max="5" width="8.22222222222222" style="3" customWidth="1"/>
    <col min="6" max="6" width="6.44444444444444" style="3" customWidth="1"/>
    <col min="7" max="7" width="6.33333333333333" style="3" customWidth="1"/>
    <col min="8" max="8" width="5.77777777777778" style="3" customWidth="1"/>
    <col min="9" max="9" width="11.4444444444444" style="3" customWidth="1"/>
    <col min="10" max="10" width="12.7777777777778" style="39" customWidth="1"/>
    <col min="11" max="16349" width="15.3981481481481" style="1"/>
    <col min="16350" max="16384" width="15.3981481481481" style="4"/>
  </cols>
  <sheetData>
    <row r="1" ht="26.4" spans="1:10">
      <c r="A1" s="41" t="s">
        <v>0</v>
      </c>
      <c r="B1" s="42" t="s">
        <v>1</v>
      </c>
      <c r="C1" s="42" t="s">
        <v>2</v>
      </c>
      <c r="D1" s="7" t="s">
        <v>3</v>
      </c>
      <c r="E1" s="8"/>
      <c r="F1" s="8"/>
      <c r="G1" s="8"/>
      <c r="H1" s="8"/>
      <c r="I1" s="8"/>
      <c r="J1" s="43"/>
    </row>
    <row r="2" s="1" customFormat="1" ht="30.6" spans="1:10">
      <c r="A2" s="41"/>
      <c r="B2" s="42"/>
      <c r="C2" s="42"/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" t="s">
        <v>9</v>
      </c>
      <c r="J2" s="44" t="s">
        <v>10</v>
      </c>
    </row>
    <row r="3" s="1" customFormat="1" ht="23" customHeight="1" spans="1:10">
      <c r="A3" s="41"/>
      <c r="B3" s="42"/>
      <c r="C3" s="42"/>
      <c r="D3" s="15"/>
      <c r="E3" s="11" t="s">
        <v>11</v>
      </c>
      <c r="F3" s="11"/>
      <c r="G3" s="11"/>
      <c r="H3" s="11"/>
      <c r="I3" s="11"/>
      <c r="J3" s="44"/>
    </row>
    <row r="4" s="1" customFormat="1" spans="1:10">
      <c r="A4" s="16" t="s">
        <v>12</v>
      </c>
      <c r="B4" s="16"/>
      <c r="C4" s="16"/>
      <c r="D4" s="16"/>
      <c r="E4" s="17"/>
      <c r="F4" s="17"/>
      <c r="G4" s="17"/>
      <c r="H4" s="17"/>
      <c r="I4" s="18"/>
      <c r="J4" s="17"/>
    </row>
    <row r="5" s="1" customFormat="1" spans="1:10">
      <c r="A5" s="19" t="s">
        <v>13</v>
      </c>
      <c r="B5" s="19"/>
      <c r="C5" s="19"/>
      <c r="D5" s="19"/>
      <c r="E5" s="20"/>
      <c r="F5" s="20"/>
      <c r="G5" s="20"/>
      <c r="H5" s="20"/>
      <c r="I5" s="21"/>
      <c r="J5" s="20"/>
    </row>
    <row r="6" s="1" customFormat="1" spans="1:10">
      <c r="A6" s="22" t="s">
        <v>14</v>
      </c>
      <c r="B6" s="23" t="s">
        <v>15</v>
      </c>
      <c r="C6" s="23">
        <v>5000</v>
      </c>
      <c r="D6" s="24">
        <v>3000</v>
      </c>
      <c r="E6" s="25">
        <v>20000</v>
      </c>
      <c r="F6" s="25">
        <v>5000</v>
      </c>
      <c r="G6" s="25">
        <v>10000</v>
      </c>
      <c r="H6" s="25">
        <v>5000</v>
      </c>
      <c r="I6" s="25">
        <v>7500</v>
      </c>
      <c r="J6" s="38">
        <f>SUM(E6:I6)</f>
        <v>47500</v>
      </c>
    </row>
    <row r="7" s="1" customFormat="1" spans="1:10">
      <c r="A7" s="22" t="s">
        <v>16</v>
      </c>
      <c r="B7" s="23" t="s">
        <v>15</v>
      </c>
      <c r="C7" s="23">
        <v>4000</v>
      </c>
      <c r="D7" s="24">
        <v>2000</v>
      </c>
      <c r="E7" s="25">
        <v>16000</v>
      </c>
      <c r="F7" s="25">
        <v>5000</v>
      </c>
      <c r="G7" s="25">
        <v>10000</v>
      </c>
      <c r="H7" s="25">
        <v>5000</v>
      </c>
      <c r="I7" s="25">
        <v>5000</v>
      </c>
      <c r="J7" s="38">
        <f t="shared" ref="J7:J70" si="0">SUM(E7:I7)</f>
        <v>41000</v>
      </c>
    </row>
    <row r="8" s="1" customFormat="1" spans="1:10">
      <c r="A8" s="22" t="s">
        <v>17</v>
      </c>
      <c r="B8" s="23" t="s">
        <v>15</v>
      </c>
      <c r="C8" s="23">
        <v>3000</v>
      </c>
      <c r="D8" s="24">
        <v>1500</v>
      </c>
      <c r="E8" s="25">
        <v>12000</v>
      </c>
      <c r="F8" s="25">
        <v>5000</v>
      </c>
      <c r="G8" s="25">
        <v>10000</v>
      </c>
      <c r="H8" s="25">
        <v>5000</v>
      </c>
      <c r="I8" s="25">
        <v>3750</v>
      </c>
      <c r="J8" s="38">
        <f t="shared" si="0"/>
        <v>35750</v>
      </c>
    </row>
    <row r="9" s="1" customFormat="1" spans="1:10">
      <c r="A9" s="22" t="s">
        <v>18</v>
      </c>
      <c r="B9" s="23" t="s">
        <v>15</v>
      </c>
      <c r="C9" s="23">
        <v>2000</v>
      </c>
      <c r="D9" s="24">
        <v>1000</v>
      </c>
      <c r="E9" s="25">
        <v>8000</v>
      </c>
      <c r="F9" s="25">
        <v>5000</v>
      </c>
      <c r="G9" s="25">
        <v>10000</v>
      </c>
      <c r="H9" s="25">
        <v>5000</v>
      </c>
      <c r="I9" s="25">
        <v>2500</v>
      </c>
      <c r="J9" s="38">
        <f t="shared" si="0"/>
        <v>30500</v>
      </c>
    </row>
    <row r="10" s="1" customFormat="1" spans="1:10">
      <c r="A10" s="22" t="s">
        <v>19</v>
      </c>
      <c r="B10" s="23" t="s">
        <v>15</v>
      </c>
      <c r="C10" s="23">
        <v>1000</v>
      </c>
      <c r="D10" s="24">
        <v>500</v>
      </c>
      <c r="E10" s="25">
        <v>4000</v>
      </c>
      <c r="F10" s="25">
        <v>5000</v>
      </c>
      <c r="G10" s="25">
        <v>10000</v>
      </c>
      <c r="H10" s="25">
        <v>5000</v>
      </c>
      <c r="I10" s="25">
        <v>1250</v>
      </c>
      <c r="J10" s="38">
        <f t="shared" si="0"/>
        <v>25250</v>
      </c>
    </row>
    <row r="11" s="1" customFormat="1" spans="1:10">
      <c r="A11" s="26" t="s">
        <v>20</v>
      </c>
      <c r="B11" s="23" t="s">
        <v>15</v>
      </c>
      <c r="C11" s="23">
        <v>5000</v>
      </c>
      <c r="D11" s="24">
        <v>3000</v>
      </c>
      <c r="E11" s="25">
        <v>20000</v>
      </c>
      <c r="F11" s="25">
        <v>5000</v>
      </c>
      <c r="G11" s="25">
        <v>10000</v>
      </c>
      <c r="H11" s="25">
        <v>5000</v>
      </c>
      <c r="I11" s="25">
        <v>7500</v>
      </c>
      <c r="J11" s="38">
        <f t="shared" si="0"/>
        <v>47500</v>
      </c>
    </row>
    <row r="12" s="1" customFormat="1" spans="1:10">
      <c r="A12" s="22" t="s">
        <v>21</v>
      </c>
      <c r="B12" s="23" t="s">
        <v>15</v>
      </c>
      <c r="C12" s="23">
        <v>4000</v>
      </c>
      <c r="D12" s="24">
        <v>2000</v>
      </c>
      <c r="E12" s="25">
        <v>16000</v>
      </c>
      <c r="F12" s="25">
        <v>5000</v>
      </c>
      <c r="G12" s="25">
        <v>10000</v>
      </c>
      <c r="H12" s="25">
        <v>5000</v>
      </c>
      <c r="I12" s="25">
        <v>5000</v>
      </c>
      <c r="J12" s="38">
        <f t="shared" si="0"/>
        <v>41000</v>
      </c>
    </row>
    <row r="13" s="1" customFormat="1" spans="1:10">
      <c r="A13" s="22" t="s">
        <v>22</v>
      </c>
      <c r="B13" s="23" t="s">
        <v>15</v>
      </c>
      <c r="C13" s="23">
        <v>3000</v>
      </c>
      <c r="D13" s="24">
        <v>1500</v>
      </c>
      <c r="E13" s="25">
        <v>12000</v>
      </c>
      <c r="F13" s="25">
        <v>5000</v>
      </c>
      <c r="G13" s="25">
        <v>10000</v>
      </c>
      <c r="H13" s="25">
        <v>5000</v>
      </c>
      <c r="I13" s="25">
        <v>3750</v>
      </c>
      <c r="J13" s="38">
        <f t="shared" si="0"/>
        <v>35750</v>
      </c>
    </row>
    <row r="14" s="1" customFormat="1" spans="1:10">
      <c r="A14" s="22" t="s">
        <v>23</v>
      </c>
      <c r="B14" s="23" t="s">
        <v>15</v>
      </c>
      <c r="C14" s="23">
        <v>2000</v>
      </c>
      <c r="D14" s="24">
        <v>1000</v>
      </c>
      <c r="E14" s="25">
        <v>8000</v>
      </c>
      <c r="F14" s="25">
        <v>5000</v>
      </c>
      <c r="G14" s="25">
        <v>10000</v>
      </c>
      <c r="H14" s="25">
        <v>5000</v>
      </c>
      <c r="I14" s="25">
        <v>2500</v>
      </c>
      <c r="J14" s="38">
        <f t="shared" si="0"/>
        <v>30500</v>
      </c>
    </row>
    <row r="15" s="1" customFormat="1" spans="1:10">
      <c r="A15" s="22" t="s">
        <v>24</v>
      </c>
      <c r="B15" s="23" t="s">
        <v>15</v>
      </c>
      <c r="C15" s="23">
        <v>1000</v>
      </c>
      <c r="D15" s="24">
        <v>500</v>
      </c>
      <c r="E15" s="25">
        <v>4000</v>
      </c>
      <c r="F15" s="25">
        <v>5000</v>
      </c>
      <c r="G15" s="25">
        <v>10000</v>
      </c>
      <c r="H15" s="25">
        <v>5000</v>
      </c>
      <c r="I15" s="25">
        <v>1250</v>
      </c>
      <c r="J15" s="38">
        <f t="shared" si="0"/>
        <v>25250</v>
      </c>
    </row>
    <row r="16" s="1" customFormat="1" spans="1:10">
      <c r="A16" s="22" t="s">
        <v>25</v>
      </c>
      <c r="B16" s="23" t="s">
        <v>15</v>
      </c>
      <c r="C16" s="23">
        <v>3000</v>
      </c>
      <c r="D16" s="24">
        <v>3000</v>
      </c>
      <c r="E16" s="25">
        <v>12000</v>
      </c>
      <c r="F16" s="25">
        <v>5000</v>
      </c>
      <c r="G16" s="25">
        <v>10000</v>
      </c>
      <c r="H16" s="25">
        <v>5000</v>
      </c>
      <c r="I16" s="25">
        <v>7500</v>
      </c>
      <c r="J16" s="38">
        <f t="shared" si="0"/>
        <v>39500</v>
      </c>
    </row>
    <row r="17" s="1" customFormat="1" spans="1:10">
      <c r="A17" s="22" t="s">
        <v>26</v>
      </c>
      <c r="B17" s="23" t="s">
        <v>15</v>
      </c>
      <c r="C17" s="23">
        <v>2000</v>
      </c>
      <c r="D17" s="24">
        <v>2000</v>
      </c>
      <c r="E17" s="25">
        <v>8000</v>
      </c>
      <c r="F17" s="25">
        <v>5000</v>
      </c>
      <c r="G17" s="25">
        <v>10000</v>
      </c>
      <c r="H17" s="25">
        <v>5000</v>
      </c>
      <c r="I17" s="25">
        <v>5000</v>
      </c>
      <c r="J17" s="38">
        <f t="shared" si="0"/>
        <v>33000</v>
      </c>
    </row>
    <row r="18" s="1" customFormat="1" spans="1:10">
      <c r="A18" s="22" t="s">
        <v>27</v>
      </c>
      <c r="B18" s="23" t="s">
        <v>15</v>
      </c>
      <c r="C18" s="23">
        <v>1000</v>
      </c>
      <c r="D18" s="24">
        <v>1000</v>
      </c>
      <c r="E18" s="25">
        <v>4000</v>
      </c>
      <c r="F18" s="25">
        <v>5000</v>
      </c>
      <c r="G18" s="25">
        <v>10000</v>
      </c>
      <c r="H18" s="25">
        <v>5000</v>
      </c>
      <c r="I18" s="25">
        <v>2500</v>
      </c>
      <c r="J18" s="38">
        <f t="shared" si="0"/>
        <v>26500</v>
      </c>
    </row>
    <row r="19" s="1" customFormat="1" spans="1:10">
      <c r="A19" s="22" t="s">
        <v>28</v>
      </c>
      <c r="B19" s="23" t="s">
        <v>15</v>
      </c>
      <c r="C19" s="23">
        <v>3000</v>
      </c>
      <c r="D19" s="24">
        <v>3000</v>
      </c>
      <c r="E19" s="25">
        <v>12000</v>
      </c>
      <c r="F19" s="25">
        <v>5000</v>
      </c>
      <c r="G19" s="25">
        <v>10000</v>
      </c>
      <c r="H19" s="25">
        <v>5000</v>
      </c>
      <c r="I19" s="25">
        <v>7500</v>
      </c>
      <c r="J19" s="38">
        <f t="shared" si="0"/>
        <v>39500</v>
      </c>
    </row>
    <row r="20" s="1" customFormat="1" spans="1:10">
      <c r="A20" s="22" t="s">
        <v>29</v>
      </c>
      <c r="B20" s="23" t="s">
        <v>15</v>
      </c>
      <c r="C20" s="23">
        <v>2000</v>
      </c>
      <c r="D20" s="24">
        <v>1000</v>
      </c>
      <c r="E20" s="25">
        <v>8000</v>
      </c>
      <c r="F20" s="25">
        <v>5000</v>
      </c>
      <c r="G20" s="25">
        <v>10000</v>
      </c>
      <c r="H20" s="25">
        <v>5000</v>
      </c>
      <c r="I20" s="25">
        <v>2500</v>
      </c>
      <c r="J20" s="38">
        <f t="shared" si="0"/>
        <v>30500</v>
      </c>
    </row>
    <row r="21" s="1" customFormat="1" spans="1:10">
      <c r="A21" s="22" t="s">
        <v>30</v>
      </c>
      <c r="B21" s="23" t="s">
        <v>15</v>
      </c>
      <c r="C21" s="23">
        <v>1000</v>
      </c>
      <c r="D21" s="24">
        <v>500</v>
      </c>
      <c r="E21" s="25">
        <v>4000</v>
      </c>
      <c r="F21" s="25">
        <v>5000</v>
      </c>
      <c r="G21" s="25">
        <v>10000</v>
      </c>
      <c r="H21" s="25">
        <v>5000</v>
      </c>
      <c r="I21" s="25">
        <v>1250</v>
      </c>
      <c r="J21" s="38">
        <f t="shared" si="0"/>
        <v>25250</v>
      </c>
    </row>
    <row r="22" s="1" customFormat="1" ht="27.6" spans="1:10">
      <c r="A22" s="22" t="s">
        <v>31</v>
      </c>
      <c r="B22" s="23" t="s">
        <v>15</v>
      </c>
      <c r="C22" s="23">
        <v>3000</v>
      </c>
      <c r="D22" s="24">
        <v>3000</v>
      </c>
      <c r="E22" s="25">
        <v>12000</v>
      </c>
      <c r="F22" s="25">
        <v>5000</v>
      </c>
      <c r="G22" s="25">
        <v>10000</v>
      </c>
      <c r="H22" s="25">
        <v>5000</v>
      </c>
      <c r="I22" s="25">
        <v>7500</v>
      </c>
      <c r="J22" s="38">
        <f t="shared" si="0"/>
        <v>39500</v>
      </c>
    </row>
    <row r="23" s="1" customFormat="1" ht="27.6" spans="1:10">
      <c r="A23" s="22" t="s">
        <v>32</v>
      </c>
      <c r="B23" s="23" t="s">
        <v>15</v>
      </c>
      <c r="C23" s="23">
        <v>2000</v>
      </c>
      <c r="D23" s="24">
        <v>1000</v>
      </c>
      <c r="E23" s="25">
        <v>8000</v>
      </c>
      <c r="F23" s="25">
        <v>5000</v>
      </c>
      <c r="G23" s="25">
        <v>10000</v>
      </c>
      <c r="H23" s="25">
        <v>5000</v>
      </c>
      <c r="I23" s="25">
        <v>2500</v>
      </c>
      <c r="J23" s="38">
        <f t="shared" si="0"/>
        <v>30500</v>
      </c>
    </row>
    <row r="24" s="1" customFormat="1" ht="27.6" spans="1:10">
      <c r="A24" s="22" t="s">
        <v>33</v>
      </c>
      <c r="B24" s="23" t="s">
        <v>15</v>
      </c>
      <c r="C24" s="23">
        <v>1000</v>
      </c>
      <c r="D24" s="24">
        <v>500</v>
      </c>
      <c r="E24" s="25">
        <v>4000</v>
      </c>
      <c r="F24" s="25">
        <v>5000</v>
      </c>
      <c r="G24" s="25">
        <v>10000</v>
      </c>
      <c r="H24" s="25">
        <v>5000</v>
      </c>
      <c r="I24" s="25">
        <v>1250</v>
      </c>
      <c r="J24" s="38">
        <f t="shared" si="0"/>
        <v>25250</v>
      </c>
    </row>
    <row r="25" s="1" customFormat="1" spans="1:10">
      <c r="A25" s="22" t="s">
        <v>34</v>
      </c>
      <c r="B25" s="23" t="s">
        <v>15</v>
      </c>
      <c r="C25" s="23"/>
      <c r="D25" s="24">
        <v>500</v>
      </c>
      <c r="E25" s="25">
        <v>0</v>
      </c>
      <c r="F25" s="25">
        <v>5000</v>
      </c>
      <c r="G25" s="25">
        <v>10000</v>
      </c>
      <c r="H25" s="25">
        <v>5000</v>
      </c>
      <c r="I25" s="25">
        <v>1250</v>
      </c>
      <c r="J25" s="38">
        <f t="shared" si="0"/>
        <v>21250</v>
      </c>
    </row>
    <row r="26" s="1" customFormat="1" ht="41.4" spans="1:10">
      <c r="A26" s="22" t="s">
        <v>35</v>
      </c>
      <c r="B26" s="23" t="s">
        <v>36</v>
      </c>
      <c r="C26" s="23"/>
      <c r="D26" s="24">
        <v>500</v>
      </c>
      <c r="E26" s="25">
        <v>0</v>
      </c>
      <c r="F26" s="25">
        <v>5000</v>
      </c>
      <c r="G26" s="25">
        <v>10000</v>
      </c>
      <c r="H26" s="25">
        <v>5000</v>
      </c>
      <c r="I26" s="25">
        <v>1250</v>
      </c>
      <c r="J26" s="38">
        <f t="shared" si="0"/>
        <v>21250</v>
      </c>
    </row>
    <row r="27" s="1" customFormat="1" ht="41.4" spans="1:10">
      <c r="A27" s="22" t="s">
        <v>37</v>
      </c>
      <c r="B27" s="23" t="s">
        <v>36</v>
      </c>
      <c r="C27" s="23"/>
      <c r="D27" s="24">
        <v>500</v>
      </c>
      <c r="E27" s="25">
        <v>0</v>
      </c>
      <c r="F27" s="25">
        <v>5000</v>
      </c>
      <c r="G27" s="25">
        <v>10000</v>
      </c>
      <c r="H27" s="25">
        <v>5000</v>
      </c>
      <c r="I27" s="25">
        <v>1250</v>
      </c>
      <c r="J27" s="38">
        <f t="shared" si="0"/>
        <v>21250</v>
      </c>
    </row>
    <row r="28" s="1" customFormat="1" spans="1:10">
      <c r="A28" s="22" t="s">
        <v>38</v>
      </c>
      <c r="B28" s="23" t="s">
        <v>15</v>
      </c>
      <c r="C28" s="23">
        <v>5000</v>
      </c>
      <c r="D28" s="24">
        <v>3000</v>
      </c>
      <c r="E28" s="25">
        <v>20000</v>
      </c>
      <c r="F28" s="25">
        <v>5000</v>
      </c>
      <c r="G28" s="25">
        <v>10000</v>
      </c>
      <c r="H28" s="25">
        <v>5000</v>
      </c>
      <c r="I28" s="25">
        <v>7500</v>
      </c>
      <c r="J28" s="38">
        <f t="shared" si="0"/>
        <v>47500</v>
      </c>
    </row>
    <row r="29" s="1" customFormat="1" spans="1:10">
      <c r="A29" s="22" t="s">
        <v>39</v>
      </c>
      <c r="B29" s="23" t="s">
        <v>15</v>
      </c>
      <c r="C29" s="23">
        <v>4000</v>
      </c>
      <c r="D29" s="24">
        <v>2000</v>
      </c>
      <c r="E29" s="25">
        <v>16000</v>
      </c>
      <c r="F29" s="25">
        <v>5000</v>
      </c>
      <c r="G29" s="25">
        <v>10000</v>
      </c>
      <c r="H29" s="25">
        <v>5000</v>
      </c>
      <c r="I29" s="25">
        <v>5000</v>
      </c>
      <c r="J29" s="38">
        <f t="shared" si="0"/>
        <v>41000</v>
      </c>
    </row>
    <row r="30" s="1" customFormat="1" spans="1:10">
      <c r="A30" s="22" t="s">
        <v>40</v>
      </c>
      <c r="B30" s="23" t="s">
        <v>15</v>
      </c>
      <c r="C30" s="23">
        <v>3000</v>
      </c>
      <c r="D30" s="24">
        <v>1500</v>
      </c>
      <c r="E30" s="25">
        <v>12000</v>
      </c>
      <c r="F30" s="25">
        <v>5000</v>
      </c>
      <c r="G30" s="25">
        <v>10000</v>
      </c>
      <c r="H30" s="25">
        <v>5000</v>
      </c>
      <c r="I30" s="25">
        <v>3750</v>
      </c>
      <c r="J30" s="38">
        <f t="shared" si="0"/>
        <v>35750</v>
      </c>
    </row>
    <row r="31" s="1" customFormat="1" spans="1:10">
      <c r="A31" s="22" t="s">
        <v>41</v>
      </c>
      <c r="B31" s="23" t="s">
        <v>15</v>
      </c>
      <c r="C31" s="23">
        <v>2000</v>
      </c>
      <c r="D31" s="24">
        <v>1000</v>
      </c>
      <c r="E31" s="25">
        <v>8000</v>
      </c>
      <c r="F31" s="25">
        <v>5000</v>
      </c>
      <c r="G31" s="25">
        <v>10000</v>
      </c>
      <c r="H31" s="25">
        <v>5000</v>
      </c>
      <c r="I31" s="25">
        <v>2500</v>
      </c>
      <c r="J31" s="38">
        <f t="shared" si="0"/>
        <v>30500</v>
      </c>
    </row>
    <row r="32" s="1" customFormat="1" spans="1:10">
      <c r="A32" s="22" t="s">
        <v>42</v>
      </c>
      <c r="B32" s="23" t="s">
        <v>15</v>
      </c>
      <c r="C32" s="23">
        <v>1000</v>
      </c>
      <c r="D32" s="24">
        <v>500</v>
      </c>
      <c r="E32" s="25">
        <v>4000</v>
      </c>
      <c r="F32" s="25">
        <v>5000</v>
      </c>
      <c r="G32" s="25">
        <v>10000</v>
      </c>
      <c r="H32" s="25">
        <v>5000</v>
      </c>
      <c r="I32" s="25">
        <v>1250</v>
      </c>
      <c r="J32" s="38">
        <f t="shared" si="0"/>
        <v>25250</v>
      </c>
    </row>
    <row r="33" s="1" customFormat="1" spans="1:10">
      <c r="A33" s="22" t="s">
        <v>43</v>
      </c>
      <c r="B33" s="23" t="s">
        <v>15</v>
      </c>
      <c r="C33" s="23">
        <v>5000</v>
      </c>
      <c r="D33" s="24">
        <v>3000</v>
      </c>
      <c r="E33" s="25">
        <v>20000</v>
      </c>
      <c r="F33" s="25">
        <v>5000</v>
      </c>
      <c r="G33" s="25">
        <v>10000</v>
      </c>
      <c r="H33" s="25">
        <v>5000</v>
      </c>
      <c r="I33" s="25">
        <v>7500</v>
      </c>
      <c r="J33" s="38">
        <f t="shared" si="0"/>
        <v>47500</v>
      </c>
    </row>
    <row r="34" s="1" customFormat="1" spans="1:10">
      <c r="A34" s="22" t="s">
        <v>44</v>
      </c>
      <c r="B34" s="23" t="s">
        <v>15</v>
      </c>
      <c r="C34" s="23">
        <v>4000</v>
      </c>
      <c r="D34" s="24">
        <v>2000</v>
      </c>
      <c r="E34" s="25">
        <v>16000</v>
      </c>
      <c r="F34" s="25">
        <v>5000</v>
      </c>
      <c r="G34" s="25">
        <v>10000</v>
      </c>
      <c r="H34" s="25">
        <v>5000</v>
      </c>
      <c r="I34" s="25">
        <v>5000</v>
      </c>
      <c r="J34" s="38">
        <f t="shared" si="0"/>
        <v>41000</v>
      </c>
    </row>
    <row r="35" s="1" customFormat="1" spans="1:10">
      <c r="A35" s="22" t="s">
        <v>45</v>
      </c>
      <c r="B35" s="23" t="s">
        <v>15</v>
      </c>
      <c r="C35" s="23">
        <v>3000</v>
      </c>
      <c r="D35" s="24">
        <v>1500</v>
      </c>
      <c r="E35" s="25">
        <v>12000</v>
      </c>
      <c r="F35" s="25">
        <v>5000</v>
      </c>
      <c r="G35" s="25">
        <v>10000</v>
      </c>
      <c r="H35" s="25">
        <v>5000</v>
      </c>
      <c r="I35" s="25">
        <v>3750</v>
      </c>
      <c r="J35" s="38">
        <f t="shared" si="0"/>
        <v>35750</v>
      </c>
    </row>
    <row r="36" s="1" customFormat="1" spans="1:10">
      <c r="A36" s="22" t="s">
        <v>46</v>
      </c>
      <c r="B36" s="23" t="s">
        <v>15</v>
      </c>
      <c r="C36" s="23">
        <v>2000</v>
      </c>
      <c r="D36" s="24">
        <v>1000</v>
      </c>
      <c r="E36" s="25">
        <v>8000</v>
      </c>
      <c r="F36" s="25">
        <v>5000</v>
      </c>
      <c r="G36" s="25">
        <v>10000</v>
      </c>
      <c r="H36" s="25">
        <v>5000</v>
      </c>
      <c r="I36" s="25">
        <v>2500</v>
      </c>
      <c r="J36" s="38">
        <f t="shared" si="0"/>
        <v>30500</v>
      </c>
    </row>
    <row r="37" s="1" customFormat="1" spans="1:10">
      <c r="A37" s="22" t="s">
        <v>47</v>
      </c>
      <c r="B37" s="23" t="s">
        <v>15</v>
      </c>
      <c r="C37" s="23">
        <v>1000</v>
      </c>
      <c r="D37" s="24">
        <v>500</v>
      </c>
      <c r="E37" s="25">
        <v>4000</v>
      </c>
      <c r="F37" s="25">
        <v>5000</v>
      </c>
      <c r="G37" s="25">
        <v>10000</v>
      </c>
      <c r="H37" s="25">
        <v>5000</v>
      </c>
      <c r="I37" s="25">
        <v>1250</v>
      </c>
      <c r="J37" s="38">
        <f t="shared" si="0"/>
        <v>25250</v>
      </c>
    </row>
    <row r="38" s="1" customFormat="1" spans="1:10">
      <c r="A38" s="22" t="s">
        <v>48</v>
      </c>
      <c r="B38" s="23" t="s">
        <v>15</v>
      </c>
      <c r="C38" s="23">
        <v>5000</v>
      </c>
      <c r="D38" s="24">
        <v>3000</v>
      </c>
      <c r="E38" s="25">
        <v>20000</v>
      </c>
      <c r="F38" s="25">
        <v>5000</v>
      </c>
      <c r="G38" s="25">
        <v>10000</v>
      </c>
      <c r="H38" s="25">
        <v>5000</v>
      </c>
      <c r="I38" s="25">
        <v>7500</v>
      </c>
      <c r="J38" s="38">
        <f t="shared" si="0"/>
        <v>47500</v>
      </c>
    </row>
    <row r="39" s="1" customFormat="1" spans="1:10">
      <c r="A39" s="22" t="s">
        <v>49</v>
      </c>
      <c r="B39" s="23" t="s">
        <v>15</v>
      </c>
      <c r="C39" s="23">
        <v>4000</v>
      </c>
      <c r="D39" s="24">
        <v>2000</v>
      </c>
      <c r="E39" s="25">
        <v>16000</v>
      </c>
      <c r="F39" s="25">
        <v>5000</v>
      </c>
      <c r="G39" s="25">
        <v>10000</v>
      </c>
      <c r="H39" s="25">
        <v>5000</v>
      </c>
      <c r="I39" s="25">
        <v>5000</v>
      </c>
      <c r="J39" s="38">
        <f t="shared" si="0"/>
        <v>41000</v>
      </c>
    </row>
    <row r="40" s="1" customFormat="1" spans="1:10">
      <c r="A40" s="22" t="s">
        <v>50</v>
      </c>
      <c r="B40" s="23" t="s">
        <v>15</v>
      </c>
      <c r="C40" s="23">
        <v>3000</v>
      </c>
      <c r="D40" s="24">
        <v>1500</v>
      </c>
      <c r="E40" s="25">
        <v>12000</v>
      </c>
      <c r="F40" s="25">
        <v>5000</v>
      </c>
      <c r="G40" s="25">
        <v>10000</v>
      </c>
      <c r="H40" s="25">
        <v>5000</v>
      </c>
      <c r="I40" s="25">
        <v>3750</v>
      </c>
      <c r="J40" s="38">
        <f t="shared" si="0"/>
        <v>35750</v>
      </c>
    </row>
    <row r="41" s="1" customFormat="1" spans="1:10">
      <c r="A41" s="22" t="s">
        <v>51</v>
      </c>
      <c r="B41" s="23" t="s">
        <v>15</v>
      </c>
      <c r="C41" s="23">
        <v>2000</v>
      </c>
      <c r="D41" s="24">
        <v>1000</v>
      </c>
      <c r="E41" s="25">
        <v>8000</v>
      </c>
      <c r="F41" s="25">
        <v>5000</v>
      </c>
      <c r="G41" s="25">
        <v>10000</v>
      </c>
      <c r="H41" s="25">
        <v>5000</v>
      </c>
      <c r="I41" s="25">
        <v>2500</v>
      </c>
      <c r="J41" s="38">
        <f t="shared" si="0"/>
        <v>30500</v>
      </c>
    </row>
    <row r="42" s="1" customFormat="1" spans="1:10">
      <c r="A42" s="22" t="s">
        <v>52</v>
      </c>
      <c r="B42" s="23" t="s">
        <v>15</v>
      </c>
      <c r="C42" s="23">
        <v>1000</v>
      </c>
      <c r="D42" s="24">
        <v>500</v>
      </c>
      <c r="E42" s="25">
        <v>4000</v>
      </c>
      <c r="F42" s="25">
        <v>5000</v>
      </c>
      <c r="G42" s="25">
        <v>10000</v>
      </c>
      <c r="H42" s="25">
        <v>5000</v>
      </c>
      <c r="I42" s="25">
        <v>1250</v>
      </c>
      <c r="J42" s="38">
        <f t="shared" si="0"/>
        <v>25250</v>
      </c>
    </row>
    <row r="43" s="1" customFormat="1" spans="1:10">
      <c r="A43" s="22" t="s">
        <v>53</v>
      </c>
      <c r="B43" s="23" t="s">
        <v>15</v>
      </c>
      <c r="C43" s="23">
        <v>5000</v>
      </c>
      <c r="D43" s="24">
        <v>3000</v>
      </c>
      <c r="E43" s="25">
        <v>20000</v>
      </c>
      <c r="F43" s="25">
        <v>5000</v>
      </c>
      <c r="G43" s="25">
        <v>10000</v>
      </c>
      <c r="H43" s="25">
        <v>5000</v>
      </c>
      <c r="I43" s="25">
        <v>7500</v>
      </c>
      <c r="J43" s="38">
        <f t="shared" si="0"/>
        <v>47500</v>
      </c>
    </row>
    <row r="44" s="1" customFormat="1" spans="1:10">
      <c r="A44" s="22" t="s">
        <v>54</v>
      </c>
      <c r="B44" s="23" t="s">
        <v>15</v>
      </c>
      <c r="C44" s="23">
        <v>4000</v>
      </c>
      <c r="D44" s="24">
        <v>2000</v>
      </c>
      <c r="E44" s="25">
        <v>16000</v>
      </c>
      <c r="F44" s="25">
        <v>5000</v>
      </c>
      <c r="G44" s="25">
        <v>10000</v>
      </c>
      <c r="H44" s="25">
        <v>5000</v>
      </c>
      <c r="I44" s="25">
        <v>5000</v>
      </c>
      <c r="J44" s="38">
        <f t="shared" si="0"/>
        <v>41000</v>
      </c>
    </row>
    <row r="45" s="1" customFormat="1" spans="1:10">
      <c r="A45" s="22" t="s">
        <v>55</v>
      </c>
      <c r="B45" s="23" t="s">
        <v>15</v>
      </c>
      <c r="C45" s="23">
        <v>3000</v>
      </c>
      <c r="D45" s="24">
        <v>1500</v>
      </c>
      <c r="E45" s="25">
        <v>12000</v>
      </c>
      <c r="F45" s="25">
        <v>5000</v>
      </c>
      <c r="G45" s="25">
        <v>10000</v>
      </c>
      <c r="H45" s="25">
        <v>5000</v>
      </c>
      <c r="I45" s="25">
        <v>3750</v>
      </c>
      <c r="J45" s="38">
        <f t="shared" si="0"/>
        <v>35750</v>
      </c>
    </row>
    <row r="46" s="1" customFormat="1" spans="1:10">
      <c r="A46" s="22" t="s">
        <v>56</v>
      </c>
      <c r="B46" s="23" t="s">
        <v>15</v>
      </c>
      <c r="C46" s="23">
        <v>2000</v>
      </c>
      <c r="D46" s="24">
        <v>1000</v>
      </c>
      <c r="E46" s="25">
        <v>8000</v>
      </c>
      <c r="F46" s="25">
        <v>5000</v>
      </c>
      <c r="G46" s="25">
        <v>10000</v>
      </c>
      <c r="H46" s="25">
        <v>5000</v>
      </c>
      <c r="I46" s="25">
        <v>2500</v>
      </c>
      <c r="J46" s="38">
        <f t="shared" si="0"/>
        <v>30500</v>
      </c>
    </row>
    <row r="47" s="1" customFormat="1" spans="1:10">
      <c r="A47" s="22" t="s">
        <v>57</v>
      </c>
      <c r="B47" s="23" t="s">
        <v>15</v>
      </c>
      <c r="C47" s="23">
        <v>1000</v>
      </c>
      <c r="D47" s="24">
        <v>500</v>
      </c>
      <c r="E47" s="25">
        <v>4000</v>
      </c>
      <c r="F47" s="25">
        <v>5000</v>
      </c>
      <c r="G47" s="25">
        <v>10000</v>
      </c>
      <c r="H47" s="25">
        <v>5000</v>
      </c>
      <c r="I47" s="25">
        <v>1250</v>
      </c>
      <c r="J47" s="38">
        <f t="shared" si="0"/>
        <v>25250</v>
      </c>
    </row>
    <row r="48" s="1" customFormat="1" spans="1:10">
      <c r="A48" s="22" t="s">
        <v>58</v>
      </c>
      <c r="B48" s="23"/>
      <c r="C48" s="23">
        <v>5000</v>
      </c>
      <c r="D48" s="24">
        <v>500</v>
      </c>
      <c r="E48" s="25">
        <v>20000</v>
      </c>
      <c r="F48" s="25">
        <v>5000</v>
      </c>
      <c r="G48" s="25">
        <v>10000</v>
      </c>
      <c r="H48" s="25">
        <v>5000</v>
      </c>
      <c r="I48" s="25">
        <v>1250</v>
      </c>
      <c r="J48" s="38">
        <f t="shared" si="0"/>
        <v>41250</v>
      </c>
    </row>
    <row r="49" s="1" customFormat="1" spans="1:10">
      <c r="A49" s="22" t="s">
        <v>59</v>
      </c>
      <c r="B49" s="23" t="s">
        <v>15</v>
      </c>
      <c r="C49" s="23">
        <v>4000</v>
      </c>
      <c r="D49" s="24">
        <v>2000</v>
      </c>
      <c r="E49" s="25">
        <v>16000</v>
      </c>
      <c r="F49" s="25">
        <v>5000</v>
      </c>
      <c r="G49" s="25">
        <v>10000</v>
      </c>
      <c r="H49" s="25">
        <v>5000</v>
      </c>
      <c r="I49" s="25">
        <v>5000</v>
      </c>
      <c r="J49" s="38">
        <f t="shared" si="0"/>
        <v>41000</v>
      </c>
    </row>
    <row r="50" s="1" customFormat="1" spans="1:10">
      <c r="A50" s="22" t="s">
        <v>60</v>
      </c>
      <c r="B50" s="23" t="s">
        <v>15</v>
      </c>
      <c r="C50" s="23">
        <v>3000</v>
      </c>
      <c r="D50" s="24">
        <v>1500</v>
      </c>
      <c r="E50" s="25">
        <v>12000</v>
      </c>
      <c r="F50" s="25">
        <v>5000</v>
      </c>
      <c r="G50" s="25">
        <v>10000</v>
      </c>
      <c r="H50" s="25">
        <v>5000</v>
      </c>
      <c r="I50" s="25">
        <v>3750</v>
      </c>
      <c r="J50" s="38">
        <f t="shared" si="0"/>
        <v>35750</v>
      </c>
    </row>
    <row r="51" s="1" customFormat="1" spans="1:10">
      <c r="A51" s="22" t="s">
        <v>61</v>
      </c>
      <c r="B51" s="23" t="s">
        <v>15</v>
      </c>
      <c r="C51" s="23">
        <v>2000</v>
      </c>
      <c r="D51" s="24">
        <v>1000</v>
      </c>
      <c r="E51" s="25">
        <v>8000</v>
      </c>
      <c r="F51" s="25">
        <v>5000</v>
      </c>
      <c r="G51" s="25">
        <v>10000</v>
      </c>
      <c r="H51" s="25">
        <v>5000</v>
      </c>
      <c r="I51" s="25">
        <v>2500</v>
      </c>
      <c r="J51" s="38">
        <f t="shared" si="0"/>
        <v>30500</v>
      </c>
    </row>
    <row r="52" s="1" customFormat="1" spans="1:10">
      <c r="A52" s="22" t="s">
        <v>62</v>
      </c>
      <c r="B52" s="23" t="s">
        <v>15</v>
      </c>
      <c r="C52" s="23">
        <v>1000</v>
      </c>
      <c r="D52" s="24">
        <v>500</v>
      </c>
      <c r="E52" s="25">
        <v>4000</v>
      </c>
      <c r="F52" s="25">
        <v>5000</v>
      </c>
      <c r="G52" s="25">
        <v>10000</v>
      </c>
      <c r="H52" s="25">
        <v>5000</v>
      </c>
      <c r="I52" s="25">
        <v>1250</v>
      </c>
      <c r="J52" s="38">
        <f t="shared" si="0"/>
        <v>25250</v>
      </c>
    </row>
    <row r="53" s="1" customFormat="1" spans="1:10">
      <c r="A53" s="22" t="s">
        <v>63</v>
      </c>
      <c r="B53" s="23"/>
      <c r="C53" s="23">
        <v>500</v>
      </c>
      <c r="D53" s="24">
        <v>500</v>
      </c>
      <c r="E53" s="25">
        <v>2000</v>
      </c>
      <c r="F53" s="25">
        <v>5000</v>
      </c>
      <c r="G53" s="25">
        <v>10000</v>
      </c>
      <c r="H53" s="25">
        <v>5000</v>
      </c>
      <c r="I53" s="25">
        <v>1250</v>
      </c>
      <c r="J53" s="38">
        <f t="shared" si="0"/>
        <v>23250</v>
      </c>
    </row>
    <row r="54" s="1" customFormat="1" spans="1:10">
      <c r="A54" s="22" t="s">
        <v>64</v>
      </c>
      <c r="B54" s="23" t="s">
        <v>15</v>
      </c>
      <c r="C54" s="23">
        <v>5000</v>
      </c>
      <c r="D54" s="24">
        <v>3000</v>
      </c>
      <c r="E54" s="25">
        <v>20000</v>
      </c>
      <c r="F54" s="25">
        <v>5000</v>
      </c>
      <c r="G54" s="25">
        <v>10000</v>
      </c>
      <c r="H54" s="25">
        <v>5000</v>
      </c>
      <c r="I54" s="25">
        <v>7500</v>
      </c>
      <c r="J54" s="38">
        <f t="shared" si="0"/>
        <v>47500</v>
      </c>
    </row>
    <row r="55" s="1" customFormat="1" spans="1:10">
      <c r="A55" s="22" t="s">
        <v>65</v>
      </c>
      <c r="B55" s="23" t="s">
        <v>15</v>
      </c>
      <c r="C55" s="23">
        <v>4000</v>
      </c>
      <c r="D55" s="24">
        <v>2000</v>
      </c>
      <c r="E55" s="25">
        <v>16000</v>
      </c>
      <c r="F55" s="25">
        <v>5000</v>
      </c>
      <c r="G55" s="25">
        <v>10000</v>
      </c>
      <c r="H55" s="25">
        <v>5000</v>
      </c>
      <c r="I55" s="25">
        <v>5000</v>
      </c>
      <c r="J55" s="38">
        <f t="shared" si="0"/>
        <v>41000</v>
      </c>
    </row>
    <row r="56" s="1" customFormat="1" spans="1:10">
      <c r="A56" s="22" t="s">
        <v>66</v>
      </c>
      <c r="B56" s="23" t="s">
        <v>15</v>
      </c>
      <c r="C56" s="23">
        <v>3000</v>
      </c>
      <c r="D56" s="24">
        <v>1500</v>
      </c>
      <c r="E56" s="25">
        <v>12000</v>
      </c>
      <c r="F56" s="25">
        <v>5000</v>
      </c>
      <c r="G56" s="25">
        <v>10000</v>
      </c>
      <c r="H56" s="25">
        <v>5000</v>
      </c>
      <c r="I56" s="25">
        <v>3750</v>
      </c>
      <c r="J56" s="38">
        <f t="shared" si="0"/>
        <v>35750</v>
      </c>
    </row>
    <row r="57" s="1" customFormat="1" spans="1:10">
      <c r="A57" s="22" t="s">
        <v>67</v>
      </c>
      <c r="B57" s="23" t="s">
        <v>15</v>
      </c>
      <c r="C57" s="23">
        <v>2000</v>
      </c>
      <c r="D57" s="24">
        <v>1000</v>
      </c>
      <c r="E57" s="25">
        <v>8000</v>
      </c>
      <c r="F57" s="25">
        <v>5000</v>
      </c>
      <c r="G57" s="25">
        <v>10000</v>
      </c>
      <c r="H57" s="25">
        <v>5000</v>
      </c>
      <c r="I57" s="25">
        <v>2500</v>
      </c>
      <c r="J57" s="38">
        <f t="shared" si="0"/>
        <v>30500</v>
      </c>
    </row>
    <row r="58" s="1" customFormat="1" spans="1:10">
      <c r="A58" s="22" t="s">
        <v>68</v>
      </c>
      <c r="B58" s="23" t="s">
        <v>15</v>
      </c>
      <c r="C58" s="23">
        <v>1000</v>
      </c>
      <c r="D58" s="24">
        <v>500</v>
      </c>
      <c r="E58" s="25">
        <v>4000</v>
      </c>
      <c r="F58" s="25">
        <v>5000</v>
      </c>
      <c r="G58" s="25">
        <v>10000</v>
      </c>
      <c r="H58" s="25">
        <v>5000</v>
      </c>
      <c r="I58" s="25">
        <v>1250</v>
      </c>
      <c r="J58" s="38">
        <f t="shared" si="0"/>
        <v>25250</v>
      </c>
    </row>
    <row r="59" s="1" customFormat="1" spans="1:10">
      <c r="A59" s="22" t="s">
        <v>69</v>
      </c>
      <c r="B59" s="23"/>
      <c r="C59" s="23"/>
      <c r="D59" s="24">
        <v>500</v>
      </c>
      <c r="E59" s="25">
        <v>0</v>
      </c>
      <c r="F59" s="25">
        <v>5000</v>
      </c>
      <c r="G59" s="25">
        <v>10000</v>
      </c>
      <c r="H59" s="25">
        <v>5000</v>
      </c>
      <c r="I59" s="25">
        <v>1250</v>
      </c>
      <c r="J59" s="38">
        <f t="shared" si="0"/>
        <v>21250</v>
      </c>
    </row>
    <row r="60" s="1" customFormat="1" spans="1:10">
      <c r="A60" s="16" t="s">
        <v>70</v>
      </c>
      <c r="B60" s="16"/>
      <c r="C60" s="16"/>
      <c r="D60" s="16"/>
      <c r="E60" s="16"/>
      <c r="F60" s="16"/>
      <c r="G60" s="16"/>
      <c r="H60" s="16"/>
      <c r="I60" s="27"/>
      <c r="J60" s="16"/>
    </row>
    <row r="61" s="1" customFormat="1" spans="1:10">
      <c r="A61" s="19" t="s">
        <v>71</v>
      </c>
      <c r="B61" s="28"/>
      <c r="C61" s="28"/>
      <c r="D61" s="28"/>
      <c r="E61" s="28"/>
      <c r="F61" s="28"/>
      <c r="G61" s="28"/>
      <c r="H61" s="28"/>
      <c r="I61" s="29"/>
      <c r="J61" s="28"/>
    </row>
    <row r="62" s="1" customFormat="1" spans="1:10">
      <c r="A62" s="22" t="s">
        <v>72</v>
      </c>
      <c r="B62" s="23" t="s">
        <v>73</v>
      </c>
      <c r="C62" s="23"/>
      <c r="D62" s="30">
        <v>0</v>
      </c>
      <c r="E62" s="25">
        <v>0</v>
      </c>
      <c r="F62" s="25">
        <v>5000</v>
      </c>
      <c r="G62" s="25">
        <v>10000</v>
      </c>
      <c r="H62" s="25">
        <v>5000</v>
      </c>
      <c r="I62" s="25">
        <v>0</v>
      </c>
      <c r="J62" s="38">
        <f t="shared" si="0"/>
        <v>20000</v>
      </c>
    </row>
    <row r="63" s="1" customFormat="1" spans="1:10">
      <c r="A63" s="22" t="s">
        <v>74</v>
      </c>
      <c r="B63" s="23" t="s">
        <v>73</v>
      </c>
      <c r="C63" s="23"/>
      <c r="D63" s="30">
        <v>0</v>
      </c>
      <c r="E63" s="25">
        <v>0</v>
      </c>
      <c r="F63" s="25">
        <v>5000</v>
      </c>
      <c r="G63" s="25">
        <v>10000</v>
      </c>
      <c r="H63" s="25">
        <v>5000</v>
      </c>
      <c r="I63" s="25">
        <v>0</v>
      </c>
      <c r="J63" s="38">
        <f t="shared" si="0"/>
        <v>20000</v>
      </c>
    </row>
    <row r="64" s="1" customFormat="1" spans="1:10">
      <c r="A64" s="22" t="s">
        <v>75</v>
      </c>
      <c r="B64" s="23" t="s">
        <v>73</v>
      </c>
      <c r="C64" s="23"/>
      <c r="D64" s="30">
        <v>0</v>
      </c>
      <c r="E64" s="25">
        <v>0</v>
      </c>
      <c r="F64" s="25">
        <v>5000</v>
      </c>
      <c r="G64" s="25">
        <v>10000</v>
      </c>
      <c r="H64" s="25">
        <v>5000</v>
      </c>
      <c r="I64" s="25">
        <v>0</v>
      </c>
      <c r="J64" s="38">
        <f t="shared" si="0"/>
        <v>20000</v>
      </c>
    </row>
    <row r="65" s="1" customFormat="1" spans="1:10 16350:16383">
      <c r="A65" s="22" t="s">
        <v>76</v>
      </c>
      <c r="B65" s="23" t="s">
        <v>73</v>
      </c>
      <c r="C65" s="23"/>
      <c r="D65" s="30">
        <v>0</v>
      </c>
      <c r="E65" s="25">
        <v>0</v>
      </c>
      <c r="F65" s="25">
        <v>5000</v>
      </c>
      <c r="G65" s="25">
        <v>10000</v>
      </c>
      <c r="H65" s="25">
        <v>5000</v>
      </c>
      <c r="I65" s="25">
        <v>0</v>
      </c>
      <c r="J65" s="38">
        <f t="shared" si="0"/>
        <v>20000</v>
      </c>
    </row>
    <row r="66" s="1" customFormat="1" ht="27.6" spans="1:10 16350:16383">
      <c r="A66" s="22" t="s">
        <v>77</v>
      </c>
      <c r="B66" s="23" t="s">
        <v>78</v>
      </c>
      <c r="C66" s="23">
        <v>1000</v>
      </c>
      <c r="D66" s="30">
        <v>0</v>
      </c>
      <c r="E66" s="25">
        <v>4000</v>
      </c>
      <c r="F66" s="25">
        <v>5000</v>
      </c>
      <c r="G66" s="25">
        <v>10000</v>
      </c>
      <c r="H66" s="25">
        <v>5000</v>
      </c>
      <c r="I66" s="25">
        <v>0</v>
      </c>
      <c r="J66" s="38">
        <f t="shared" si="0"/>
        <v>24000</v>
      </c>
    </row>
    <row r="67" s="1" customFormat="1" ht="27.6" spans="1:10 16350:16383">
      <c r="A67" s="22" t="s">
        <v>79</v>
      </c>
      <c r="B67" s="23"/>
      <c r="C67" s="23">
        <v>1000</v>
      </c>
      <c r="D67" s="30">
        <v>0</v>
      </c>
      <c r="E67" s="25">
        <v>4000</v>
      </c>
      <c r="F67" s="25">
        <v>5000</v>
      </c>
      <c r="G67" s="25">
        <v>10000</v>
      </c>
      <c r="H67" s="25">
        <v>5000</v>
      </c>
      <c r="I67" s="25">
        <v>0</v>
      </c>
      <c r="J67" s="38">
        <f t="shared" si="0"/>
        <v>24000</v>
      </c>
    </row>
    <row r="68" s="1" customFormat="1" ht="27.6" spans="1:10 16350:16383">
      <c r="A68" s="22" t="s">
        <v>80</v>
      </c>
      <c r="B68" s="23"/>
      <c r="C68" s="23"/>
      <c r="D68" s="30">
        <v>0</v>
      </c>
      <c r="E68" s="25">
        <v>0</v>
      </c>
      <c r="F68" s="25">
        <v>5000</v>
      </c>
      <c r="G68" s="25">
        <v>10000</v>
      </c>
      <c r="H68" s="25">
        <v>5000</v>
      </c>
      <c r="I68" s="25">
        <v>0</v>
      </c>
      <c r="J68" s="38">
        <f t="shared" si="0"/>
        <v>20000</v>
      </c>
    </row>
    <row r="69" s="1" customFormat="1" spans="1:10 16350:16383">
      <c r="A69" s="31" t="s">
        <v>81</v>
      </c>
      <c r="B69" s="31"/>
      <c r="C69" s="31"/>
      <c r="D69" s="31"/>
      <c r="E69" s="31"/>
      <c r="F69" s="31"/>
      <c r="G69" s="31"/>
      <c r="H69" s="31"/>
      <c r="I69" s="32"/>
      <c r="J69" s="31"/>
      <c r="XDV69" s="4"/>
      <c r="XDW69" s="4"/>
      <c r="XDX69" s="4"/>
      <c r="XDY69" s="4"/>
      <c r="XDZ69" s="4"/>
      <c r="XEA69" s="4"/>
      <c r="XEB69" s="4"/>
      <c r="XEC69" s="4"/>
      <c r="XED69" s="4"/>
      <c r="XEE69" s="4"/>
      <c r="XEF69" s="4"/>
      <c r="XEG69" s="4"/>
      <c r="XEH69" s="4"/>
      <c r="XEI69" s="4"/>
      <c r="XEJ69" s="4"/>
      <c r="XEK69" s="4"/>
      <c r="XEL69" s="4"/>
      <c r="XEM69" s="4"/>
      <c r="XEN69" s="4"/>
      <c r="XEO69" s="4"/>
      <c r="XEP69" s="4"/>
      <c r="XEQ69" s="4"/>
      <c r="XER69" s="4"/>
      <c r="XES69" s="4"/>
      <c r="XET69" s="4"/>
      <c r="XEU69" s="4"/>
      <c r="XEV69" s="4"/>
      <c r="XEW69" s="4"/>
      <c r="XEX69" s="4"/>
      <c r="XEY69" s="4"/>
      <c r="XEZ69" s="4"/>
      <c r="XFA69" s="4"/>
      <c r="XFB69" s="4"/>
      <c r="XFC69" s="4"/>
    </row>
    <row r="70" s="1" customFormat="1" spans="1:10 16350:16383">
      <c r="A70" s="19" t="s">
        <v>82</v>
      </c>
      <c r="B70" s="19"/>
      <c r="C70" s="19"/>
      <c r="D70" s="19"/>
      <c r="E70" s="19"/>
      <c r="F70" s="19"/>
      <c r="G70" s="19"/>
      <c r="H70" s="19"/>
      <c r="I70" s="33"/>
      <c r="J70" s="19"/>
      <c r="XDV70" s="4"/>
      <c r="XDW70" s="4"/>
      <c r="XDX70" s="4"/>
      <c r="XDY70" s="4"/>
      <c r="XDZ70" s="4"/>
      <c r="XEA70" s="4"/>
      <c r="XEB70" s="4"/>
      <c r="XEC70" s="4"/>
      <c r="XED70" s="4"/>
      <c r="XEE70" s="4"/>
      <c r="XEF70" s="4"/>
      <c r="XEG70" s="4"/>
      <c r="XEH70" s="4"/>
      <c r="XEI70" s="4"/>
      <c r="XEJ70" s="4"/>
      <c r="XEK70" s="4"/>
      <c r="XEL70" s="4"/>
      <c r="XEM70" s="4"/>
      <c r="XEN70" s="4"/>
      <c r="XEO70" s="4"/>
      <c r="XEP70" s="4"/>
      <c r="XEQ70" s="4"/>
      <c r="XER70" s="4"/>
      <c r="XES70" s="4"/>
      <c r="XET70" s="4"/>
      <c r="XEU70" s="4"/>
      <c r="XEV70" s="4"/>
      <c r="XEW70" s="4"/>
      <c r="XEX70" s="4"/>
      <c r="XEY70" s="4"/>
      <c r="XEZ70" s="4"/>
      <c r="XFA70" s="4"/>
      <c r="XFB70" s="4"/>
      <c r="XFC70" s="4"/>
    </row>
    <row r="71" s="1" customFormat="1" spans="1:10 16350:16383">
      <c r="A71" s="22" t="s">
        <v>83</v>
      </c>
      <c r="B71" s="23" t="s">
        <v>84</v>
      </c>
      <c r="C71" s="23">
        <v>3000</v>
      </c>
      <c r="D71" s="30">
        <v>3000</v>
      </c>
      <c r="E71" s="25">
        <v>12000</v>
      </c>
      <c r="F71" s="25">
        <v>5000</v>
      </c>
      <c r="G71" s="25">
        <v>10000</v>
      </c>
      <c r="H71" s="25">
        <v>5000</v>
      </c>
      <c r="I71" s="25">
        <v>7500</v>
      </c>
      <c r="J71" s="38">
        <f t="shared" ref="J71:J134" si="1">SUM(E71:I71)</f>
        <v>39500</v>
      </c>
    </row>
    <row r="72" s="1" customFormat="1" spans="1:10 16350:16383">
      <c r="A72" s="22" t="s">
        <v>85</v>
      </c>
      <c r="B72" s="23" t="s">
        <v>84</v>
      </c>
      <c r="C72" s="23">
        <v>2000</v>
      </c>
      <c r="D72" s="30">
        <v>2000</v>
      </c>
      <c r="E72" s="25">
        <v>8000</v>
      </c>
      <c r="F72" s="25">
        <v>5000</v>
      </c>
      <c r="G72" s="25">
        <v>10000</v>
      </c>
      <c r="H72" s="25">
        <v>5000</v>
      </c>
      <c r="I72" s="25">
        <v>5000</v>
      </c>
      <c r="J72" s="38">
        <f t="shared" si="1"/>
        <v>33000</v>
      </c>
    </row>
    <row r="73" s="1" customFormat="1" spans="1:10 16350:16383">
      <c r="A73" s="22" t="s">
        <v>86</v>
      </c>
      <c r="B73" s="23" t="s">
        <v>84</v>
      </c>
      <c r="C73" s="23">
        <v>1000</v>
      </c>
      <c r="D73" s="30">
        <v>1500</v>
      </c>
      <c r="E73" s="25">
        <v>4000</v>
      </c>
      <c r="F73" s="25">
        <v>5000</v>
      </c>
      <c r="G73" s="25">
        <v>10000</v>
      </c>
      <c r="H73" s="25">
        <v>5000</v>
      </c>
      <c r="I73" s="25">
        <v>3750</v>
      </c>
      <c r="J73" s="38">
        <f t="shared" si="1"/>
        <v>27750</v>
      </c>
    </row>
    <row r="74" s="1" customFormat="1" spans="1:10 16350:16383">
      <c r="A74" s="22" t="s">
        <v>87</v>
      </c>
      <c r="B74" s="23" t="s">
        <v>88</v>
      </c>
      <c r="C74" s="23">
        <v>4000</v>
      </c>
      <c r="D74" s="30">
        <v>3000</v>
      </c>
      <c r="E74" s="25">
        <v>16000</v>
      </c>
      <c r="F74" s="25">
        <v>5000</v>
      </c>
      <c r="G74" s="25">
        <v>10000</v>
      </c>
      <c r="H74" s="25">
        <v>5000</v>
      </c>
      <c r="I74" s="25">
        <v>7500</v>
      </c>
      <c r="J74" s="38">
        <f t="shared" si="1"/>
        <v>43500</v>
      </c>
    </row>
    <row r="75" s="1" customFormat="1" spans="1:10 16350:16383">
      <c r="A75" s="22" t="s">
        <v>89</v>
      </c>
      <c r="B75" s="23" t="s">
        <v>88</v>
      </c>
      <c r="C75" s="23">
        <v>3000</v>
      </c>
      <c r="D75" s="30">
        <v>2000</v>
      </c>
      <c r="E75" s="25">
        <v>12000</v>
      </c>
      <c r="F75" s="25">
        <v>5000</v>
      </c>
      <c r="G75" s="25">
        <v>10000</v>
      </c>
      <c r="H75" s="25">
        <v>5000</v>
      </c>
      <c r="I75" s="25">
        <v>5000</v>
      </c>
      <c r="J75" s="38">
        <f t="shared" si="1"/>
        <v>37000</v>
      </c>
    </row>
    <row r="76" s="1" customFormat="1" spans="1:10 16350:16383">
      <c r="A76" s="22" t="s">
        <v>90</v>
      </c>
      <c r="B76" s="23" t="s">
        <v>88</v>
      </c>
      <c r="C76" s="23">
        <v>2000</v>
      </c>
      <c r="D76" s="30">
        <v>1500</v>
      </c>
      <c r="E76" s="25">
        <v>8000</v>
      </c>
      <c r="F76" s="25">
        <v>5000</v>
      </c>
      <c r="G76" s="25">
        <v>10000</v>
      </c>
      <c r="H76" s="25">
        <v>5000</v>
      </c>
      <c r="I76" s="25">
        <v>3750</v>
      </c>
      <c r="J76" s="38">
        <f t="shared" si="1"/>
        <v>31750</v>
      </c>
    </row>
    <row r="77" s="1" customFormat="1" spans="1:10 16350:16383">
      <c r="A77" s="22" t="s">
        <v>91</v>
      </c>
      <c r="B77" s="23" t="s">
        <v>88</v>
      </c>
      <c r="C77" s="23">
        <v>1000</v>
      </c>
      <c r="D77" s="30">
        <v>1000</v>
      </c>
      <c r="E77" s="25">
        <v>4000</v>
      </c>
      <c r="F77" s="25">
        <v>5000</v>
      </c>
      <c r="G77" s="25">
        <v>10000</v>
      </c>
      <c r="H77" s="25">
        <v>5000</v>
      </c>
      <c r="I77" s="25">
        <v>2500</v>
      </c>
      <c r="J77" s="38">
        <f t="shared" si="1"/>
        <v>26500</v>
      </c>
    </row>
    <row r="78" s="1" customFormat="1" spans="1:10 16350:16383">
      <c r="A78" s="22" t="s">
        <v>92</v>
      </c>
      <c r="B78" s="23" t="s">
        <v>88</v>
      </c>
      <c r="C78" s="23">
        <v>500</v>
      </c>
      <c r="D78" s="30">
        <v>500</v>
      </c>
      <c r="E78" s="25">
        <v>2000</v>
      </c>
      <c r="F78" s="25">
        <v>5000</v>
      </c>
      <c r="G78" s="25">
        <v>10000</v>
      </c>
      <c r="H78" s="25">
        <v>5000</v>
      </c>
      <c r="I78" s="25">
        <v>1250</v>
      </c>
      <c r="J78" s="38">
        <f t="shared" si="1"/>
        <v>23250</v>
      </c>
    </row>
    <row r="79" s="1" customFormat="1" spans="1:10 16350:16383">
      <c r="A79" s="22" t="s">
        <v>93</v>
      </c>
      <c r="B79" s="23" t="s">
        <v>88</v>
      </c>
      <c r="C79" s="23"/>
      <c r="D79" s="30">
        <v>0</v>
      </c>
      <c r="E79" s="25">
        <v>0</v>
      </c>
      <c r="F79" s="25">
        <v>5000</v>
      </c>
      <c r="G79" s="25">
        <v>10000</v>
      </c>
      <c r="H79" s="25">
        <v>5000</v>
      </c>
      <c r="I79" s="25">
        <v>0</v>
      </c>
      <c r="J79" s="38">
        <f t="shared" si="1"/>
        <v>20000</v>
      </c>
    </row>
    <row r="80" s="1" customFormat="1" spans="1:10 16350:16383">
      <c r="A80" s="22" t="s">
        <v>94</v>
      </c>
      <c r="B80" s="23" t="s">
        <v>95</v>
      </c>
      <c r="C80" s="23"/>
      <c r="D80" s="30">
        <v>0</v>
      </c>
      <c r="E80" s="25">
        <v>0</v>
      </c>
      <c r="F80" s="25">
        <v>5000</v>
      </c>
      <c r="G80" s="25">
        <v>10000</v>
      </c>
      <c r="H80" s="25">
        <v>5000</v>
      </c>
      <c r="I80" s="25">
        <v>0</v>
      </c>
      <c r="J80" s="38">
        <f t="shared" si="1"/>
        <v>20000</v>
      </c>
    </row>
    <row r="81" s="1" customFormat="1" spans="1:10">
      <c r="A81" s="22" t="s">
        <v>96</v>
      </c>
      <c r="B81" s="23" t="s">
        <v>95</v>
      </c>
      <c r="C81" s="23"/>
      <c r="D81" s="30">
        <v>0</v>
      </c>
      <c r="E81" s="25">
        <v>0</v>
      </c>
      <c r="F81" s="25">
        <v>5000</v>
      </c>
      <c r="G81" s="25">
        <v>10000</v>
      </c>
      <c r="H81" s="25">
        <v>5000</v>
      </c>
      <c r="I81" s="25">
        <v>0</v>
      </c>
      <c r="J81" s="38">
        <f t="shared" si="1"/>
        <v>20000</v>
      </c>
    </row>
    <row r="82" s="1" customFormat="1" spans="1:10">
      <c r="A82" s="22" t="s">
        <v>97</v>
      </c>
      <c r="B82" s="23" t="s">
        <v>95</v>
      </c>
      <c r="C82" s="23"/>
      <c r="D82" s="30">
        <v>0</v>
      </c>
      <c r="E82" s="25">
        <v>0</v>
      </c>
      <c r="F82" s="25">
        <v>5000</v>
      </c>
      <c r="G82" s="25">
        <v>10000</v>
      </c>
      <c r="H82" s="25">
        <v>5000</v>
      </c>
      <c r="I82" s="25">
        <v>0</v>
      </c>
      <c r="J82" s="38">
        <f t="shared" si="1"/>
        <v>20000</v>
      </c>
    </row>
    <row r="83" s="1" customFormat="1" spans="1:10">
      <c r="A83" s="22" t="s">
        <v>98</v>
      </c>
      <c r="B83" s="23" t="s">
        <v>95</v>
      </c>
      <c r="C83" s="23"/>
      <c r="D83" s="30">
        <v>0</v>
      </c>
      <c r="E83" s="25">
        <v>0</v>
      </c>
      <c r="F83" s="25">
        <v>5000</v>
      </c>
      <c r="G83" s="25">
        <v>10000</v>
      </c>
      <c r="H83" s="25">
        <v>5000</v>
      </c>
      <c r="I83" s="25">
        <v>0</v>
      </c>
      <c r="J83" s="38">
        <f t="shared" si="1"/>
        <v>20000</v>
      </c>
    </row>
    <row r="84" s="1" customFormat="1" ht="27.6" spans="1:10">
      <c r="A84" s="22" t="s">
        <v>99</v>
      </c>
      <c r="B84" s="23" t="s">
        <v>100</v>
      </c>
      <c r="C84" s="23">
        <v>3000</v>
      </c>
      <c r="D84" s="30">
        <v>3000</v>
      </c>
      <c r="E84" s="25">
        <v>12000</v>
      </c>
      <c r="F84" s="25">
        <v>5000</v>
      </c>
      <c r="G84" s="25">
        <v>10000</v>
      </c>
      <c r="H84" s="25">
        <v>5000</v>
      </c>
      <c r="I84" s="25">
        <v>7500</v>
      </c>
      <c r="J84" s="38">
        <f t="shared" si="1"/>
        <v>39500</v>
      </c>
    </row>
    <row r="85" s="1" customFormat="1" ht="27.6" spans="1:10">
      <c r="A85" s="22" t="s">
        <v>101</v>
      </c>
      <c r="B85" s="23" t="s">
        <v>100</v>
      </c>
      <c r="C85" s="23">
        <v>2000</v>
      </c>
      <c r="D85" s="30">
        <v>2000</v>
      </c>
      <c r="E85" s="25">
        <v>8000</v>
      </c>
      <c r="F85" s="25">
        <v>5000</v>
      </c>
      <c r="G85" s="25">
        <v>10000</v>
      </c>
      <c r="H85" s="25">
        <v>5000</v>
      </c>
      <c r="I85" s="25">
        <v>5000</v>
      </c>
      <c r="J85" s="38">
        <f t="shared" si="1"/>
        <v>33000</v>
      </c>
    </row>
    <row r="86" s="1" customFormat="1" ht="27.6" spans="1:10">
      <c r="A86" s="22" t="s">
        <v>102</v>
      </c>
      <c r="B86" s="23" t="s">
        <v>100</v>
      </c>
      <c r="C86" s="23">
        <v>1000</v>
      </c>
      <c r="D86" s="30">
        <v>1500</v>
      </c>
      <c r="E86" s="25">
        <v>4000</v>
      </c>
      <c r="F86" s="25">
        <v>5000</v>
      </c>
      <c r="G86" s="25">
        <v>10000</v>
      </c>
      <c r="H86" s="25">
        <v>5000</v>
      </c>
      <c r="I86" s="25">
        <v>3750</v>
      </c>
      <c r="J86" s="38">
        <f t="shared" si="1"/>
        <v>27750</v>
      </c>
    </row>
    <row r="87" s="1" customFormat="1" ht="27.6" spans="1:10">
      <c r="A87" s="22" t="s">
        <v>103</v>
      </c>
      <c r="B87" s="23" t="s">
        <v>100</v>
      </c>
      <c r="C87" s="23">
        <v>500</v>
      </c>
      <c r="D87" s="30">
        <v>1000</v>
      </c>
      <c r="E87" s="25">
        <v>2000</v>
      </c>
      <c r="F87" s="25">
        <v>5000</v>
      </c>
      <c r="G87" s="25">
        <v>10000</v>
      </c>
      <c r="H87" s="25">
        <v>5000</v>
      </c>
      <c r="I87" s="25">
        <v>2500</v>
      </c>
      <c r="J87" s="38">
        <f t="shared" si="1"/>
        <v>24500</v>
      </c>
    </row>
    <row r="88" s="1" customFormat="1" spans="1:10">
      <c r="A88" s="22" t="s">
        <v>104</v>
      </c>
      <c r="B88" s="23" t="s">
        <v>105</v>
      </c>
      <c r="C88" s="23"/>
      <c r="D88" s="30">
        <v>500</v>
      </c>
      <c r="E88" s="25">
        <v>0</v>
      </c>
      <c r="F88" s="25">
        <v>5000</v>
      </c>
      <c r="G88" s="25">
        <v>10000</v>
      </c>
      <c r="H88" s="25">
        <v>5000</v>
      </c>
      <c r="I88" s="25">
        <v>1250</v>
      </c>
      <c r="J88" s="38">
        <f t="shared" si="1"/>
        <v>21250</v>
      </c>
    </row>
    <row r="89" s="1" customFormat="1" spans="1:10">
      <c r="A89" s="22" t="s">
        <v>106</v>
      </c>
      <c r="B89" s="23" t="s">
        <v>107</v>
      </c>
      <c r="C89" s="23">
        <v>3000</v>
      </c>
      <c r="D89" s="30">
        <v>3000</v>
      </c>
      <c r="E89" s="25">
        <v>12000</v>
      </c>
      <c r="F89" s="25">
        <v>5000</v>
      </c>
      <c r="G89" s="25">
        <v>10000</v>
      </c>
      <c r="H89" s="25">
        <v>5000</v>
      </c>
      <c r="I89" s="25">
        <v>7500</v>
      </c>
      <c r="J89" s="38">
        <f t="shared" si="1"/>
        <v>39500</v>
      </c>
    </row>
    <row r="90" s="1" customFormat="1" spans="1:10">
      <c r="A90" s="22" t="s">
        <v>108</v>
      </c>
      <c r="B90" s="23" t="s">
        <v>107</v>
      </c>
      <c r="C90" s="23">
        <v>2000</v>
      </c>
      <c r="D90" s="30">
        <v>2000</v>
      </c>
      <c r="E90" s="25">
        <v>8000</v>
      </c>
      <c r="F90" s="25">
        <v>5000</v>
      </c>
      <c r="G90" s="25">
        <v>10000</v>
      </c>
      <c r="H90" s="25">
        <v>5000</v>
      </c>
      <c r="I90" s="25">
        <v>5000</v>
      </c>
      <c r="J90" s="38">
        <f t="shared" si="1"/>
        <v>33000</v>
      </c>
    </row>
    <row r="91" s="1" customFormat="1" spans="1:10">
      <c r="A91" s="22" t="s">
        <v>109</v>
      </c>
      <c r="B91" s="23" t="s">
        <v>107</v>
      </c>
      <c r="C91" s="23">
        <v>1000</v>
      </c>
      <c r="D91" s="30">
        <v>1000</v>
      </c>
      <c r="E91" s="25">
        <v>4000</v>
      </c>
      <c r="F91" s="25">
        <v>5000</v>
      </c>
      <c r="G91" s="25">
        <v>10000</v>
      </c>
      <c r="H91" s="25">
        <v>5000</v>
      </c>
      <c r="I91" s="25">
        <v>2500</v>
      </c>
      <c r="J91" s="38">
        <f t="shared" si="1"/>
        <v>26500</v>
      </c>
    </row>
    <row r="92" s="1" customFormat="1" spans="1:10">
      <c r="A92" s="22" t="s">
        <v>110</v>
      </c>
      <c r="B92" s="23" t="s">
        <v>107</v>
      </c>
      <c r="C92" s="23">
        <v>3000</v>
      </c>
      <c r="D92" s="30">
        <v>3000</v>
      </c>
      <c r="E92" s="25">
        <v>12000</v>
      </c>
      <c r="F92" s="25">
        <v>5000</v>
      </c>
      <c r="G92" s="25">
        <v>10000</v>
      </c>
      <c r="H92" s="25">
        <v>5000</v>
      </c>
      <c r="I92" s="25">
        <v>7500</v>
      </c>
      <c r="J92" s="38">
        <f t="shared" si="1"/>
        <v>39500</v>
      </c>
    </row>
    <row r="93" s="1" customFormat="1" spans="1:10">
      <c r="A93" s="22" t="s">
        <v>111</v>
      </c>
      <c r="B93" s="23" t="s">
        <v>107</v>
      </c>
      <c r="C93" s="23">
        <v>2000</v>
      </c>
      <c r="D93" s="30">
        <v>2000</v>
      </c>
      <c r="E93" s="25">
        <v>8000</v>
      </c>
      <c r="F93" s="25">
        <v>5000</v>
      </c>
      <c r="G93" s="25">
        <v>10000</v>
      </c>
      <c r="H93" s="25">
        <v>5000</v>
      </c>
      <c r="I93" s="25">
        <v>5000</v>
      </c>
      <c r="J93" s="38">
        <f t="shared" si="1"/>
        <v>33000</v>
      </c>
    </row>
    <row r="94" s="1" customFormat="1" spans="1:10">
      <c r="A94" s="22" t="s">
        <v>112</v>
      </c>
      <c r="B94" s="23" t="s">
        <v>107</v>
      </c>
      <c r="C94" s="23">
        <v>1000</v>
      </c>
      <c r="D94" s="30">
        <v>1000</v>
      </c>
      <c r="E94" s="25">
        <v>4000</v>
      </c>
      <c r="F94" s="25">
        <v>5000</v>
      </c>
      <c r="G94" s="25">
        <v>10000</v>
      </c>
      <c r="H94" s="25">
        <v>5000</v>
      </c>
      <c r="I94" s="25">
        <v>2500</v>
      </c>
      <c r="J94" s="38">
        <f t="shared" si="1"/>
        <v>26500</v>
      </c>
    </row>
    <row r="95" s="1" customFormat="1" spans="1:10">
      <c r="A95" s="22" t="s">
        <v>113</v>
      </c>
      <c r="B95" s="23" t="s">
        <v>107</v>
      </c>
      <c r="C95" s="23">
        <v>3000</v>
      </c>
      <c r="D95" s="30">
        <v>3000</v>
      </c>
      <c r="E95" s="25">
        <v>12000</v>
      </c>
      <c r="F95" s="25">
        <v>5000</v>
      </c>
      <c r="G95" s="25">
        <v>10000</v>
      </c>
      <c r="H95" s="25">
        <v>5000</v>
      </c>
      <c r="I95" s="25">
        <v>7500</v>
      </c>
      <c r="J95" s="38">
        <f t="shared" si="1"/>
        <v>39500</v>
      </c>
    </row>
    <row r="96" s="1" customFormat="1" spans="1:10">
      <c r="A96" s="22" t="s">
        <v>114</v>
      </c>
      <c r="B96" s="23" t="s">
        <v>107</v>
      </c>
      <c r="C96" s="23">
        <v>2000</v>
      </c>
      <c r="D96" s="30">
        <v>2000</v>
      </c>
      <c r="E96" s="25">
        <v>8000</v>
      </c>
      <c r="F96" s="25">
        <v>5000</v>
      </c>
      <c r="G96" s="25">
        <v>10000</v>
      </c>
      <c r="H96" s="25">
        <v>5000</v>
      </c>
      <c r="I96" s="25">
        <v>5000</v>
      </c>
      <c r="J96" s="38">
        <f t="shared" si="1"/>
        <v>33000</v>
      </c>
    </row>
    <row r="97" s="1" customFormat="1" spans="1:10">
      <c r="A97" s="22" t="s">
        <v>115</v>
      </c>
      <c r="B97" s="23" t="s">
        <v>107</v>
      </c>
      <c r="C97" s="23">
        <v>1000</v>
      </c>
      <c r="D97" s="30">
        <v>1000</v>
      </c>
      <c r="E97" s="25">
        <v>4000</v>
      </c>
      <c r="F97" s="25">
        <v>5000</v>
      </c>
      <c r="G97" s="25">
        <v>10000</v>
      </c>
      <c r="H97" s="25">
        <v>5000</v>
      </c>
      <c r="I97" s="25">
        <v>2500</v>
      </c>
      <c r="J97" s="38">
        <f t="shared" si="1"/>
        <v>26500</v>
      </c>
    </row>
    <row r="98" s="1" customFormat="1" spans="1:10">
      <c r="A98" s="22" t="s">
        <v>116</v>
      </c>
      <c r="B98" s="23" t="s">
        <v>107</v>
      </c>
      <c r="C98" s="23">
        <v>3000</v>
      </c>
      <c r="D98" s="30">
        <v>3000</v>
      </c>
      <c r="E98" s="25">
        <v>12000</v>
      </c>
      <c r="F98" s="25">
        <v>5000</v>
      </c>
      <c r="G98" s="25">
        <v>10000</v>
      </c>
      <c r="H98" s="25">
        <v>5000</v>
      </c>
      <c r="I98" s="25">
        <v>7500</v>
      </c>
      <c r="J98" s="38">
        <f t="shared" si="1"/>
        <v>39500</v>
      </c>
    </row>
    <row r="99" s="1" customFormat="1" spans="1:10">
      <c r="A99" s="22" t="s">
        <v>117</v>
      </c>
      <c r="B99" s="23" t="s">
        <v>107</v>
      </c>
      <c r="C99" s="23">
        <v>2000</v>
      </c>
      <c r="D99" s="30">
        <v>2000</v>
      </c>
      <c r="E99" s="25">
        <v>8000</v>
      </c>
      <c r="F99" s="25">
        <v>5000</v>
      </c>
      <c r="G99" s="25">
        <v>10000</v>
      </c>
      <c r="H99" s="25">
        <v>5000</v>
      </c>
      <c r="I99" s="25">
        <v>5000</v>
      </c>
      <c r="J99" s="38">
        <f t="shared" si="1"/>
        <v>33000</v>
      </c>
    </row>
    <row r="100" s="1" customFormat="1" spans="1:10">
      <c r="A100" s="22" t="s">
        <v>118</v>
      </c>
      <c r="B100" s="23" t="s">
        <v>107</v>
      </c>
      <c r="C100" s="23">
        <v>1000</v>
      </c>
      <c r="D100" s="30">
        <v>1000</v>
      </c>
      <c r="E100" s="25">
        <v>4000</v>
      </c>
      <c r="F100" s="25">
        <v>5000</v>
      </c>
      <c r="G100" s="25">
        <v>10000</v>
      </c>
      <c r="H100" s="25">
        <v>5000</v>
      </c>
      <c r="I100" s="25">
        <v>2500</v>
      </c>
      <c r="J100" s="38">
        <f t="shared" si="1"/>
        <v>26500</v>
      </c>
    </row>
    <row r="101" s="1" customFormat="1" spans="1:10">
      <c r="A101" s="22" t="s">
        <v>119</v>
      </c>
      <c r="B101" s="23" t="s">
        <v>100</v>
      </c>
      <c r="C101" s="23">
        <v>3000</v>
      </c>
      <c r="D101" s="30">
        <v>3000</v>
      </c>
      <c r="E101" s="25">
        <v>12000</v>
      </c>
      <c r="F101" s="25">
        <v>5000</v>
      </c>
      <c r="G101" s="25">
        <v>10000</v>
      </c>
      <c r="H101" s="25">
        <v>5000</v>
      </c>
      <c r="I101" s="25">
        <v>7500</v>
      </c>
      <c r="J101" s="38">
        <f t="shared" si="1"/>
        <v>39500</v>
      </c>
    </row>
    <row r="102" s="1" customFormat="1" spans="1:10">
      <c r="A102" s="22" t="s">
        <v>120</v>
      </c>
      <c r="B102" s="23" t="s">
        <v>100</v>
      </c>
      <c r="C102" s="23">
        <v>2000</v>
      </c>
      <c r="D102" s="30">
        <v>2000</v>
      </c>
      <c r="E102" s="25">
        <v>8000</v>
      </c>
      <c r="F102" s="25">
        <v>5000</v>
      </c>
      <c r="G102" s="25">
        <v>10000</v>
      </c>
      <c r="H102" s="25">
        <v>5000</v>
      </c>
      <c r="I102" s="25">
        <v>5000</v>
      </c>
      <c r="J102" s="38">
        <f t="shared" si="1"/>
        <v>33000</v>
      </c>
    </row>
    <row r="103" s="1" customFormat="1" spans="1:10">
      <c r="A103" s="22" t="s">
        <v>121</v>
      </c>
      <c r="B103" s="23" t="s">
        <v>100</v>
      </c>
      <c r="C103" s="23">
        <v>1000</v>
      </c>
      <c r="D103" s="30">
        <v>1000</v>
      </c>
      <c r="E103" s="25">
        <v>4000</v>
      </c>
      <c r="F103" s="25">
        <v>5000</v>
      </c>
      <c r="G103" s="25">
        <v>10000</v>
      </c>
      <c r="H103" s="25">
        <v>5000</v>
      </c>
      <c r="I103" s="25">
        <v>2500</v>
      </c>
      <c r="J103" s="38">
        <f t="shared" si="1"/>
        <v>26500</v>
      </c>
    </row>
    <row r="104" s="1" customFormat="1" spans="1:10">
      <c r="A104" s="22" t="s">
        <v>122</v>
      </c>
      <c r="B104" s="23" t="s">
        <v>100</v>
      </c>
      <c r="C104" s="23">
        <v>500</v>
      </c>
      <c r="D104" s="30">
        <v>1000</v>
      </c>
      <c r="E104" s="25">
        <v>2000</v>
      </c>
      <c r="F104" s="25">
        <v>5000</v>
      </c>
      <c r="G104" s="25">
        <v>10000</v>
      </c>
      <c r="H104" s="25">
        <v>5000</v>
      </c>
      <c r="I104" s="25">
        <v>2500</v>
      </c>
      <c r="J104" s="38">
        <f t="shared" si="1"/>
        <v>24500</v>
      </c>
    </row>
    <row r="105" s="1" customFormat="1" ht="27.6" spans="1:10">
      <c r="A105" s="22" t="s">
        <v>123</v>
      </c>
      <c r="B105" s="23" t="s">
        <v>124</v>
      </c>
      <c r="C105" s="23">
        <v>3000</v>
      </c>
      <c r="D105" s="30">
        <v>3000</v>
      </c>
      <c r="E105" s="25">
        <v>12000</v>
      </c>
      <c r="F105" s="25">
        <v>5000</v>
      </c>
      <c r="G105" s="25">
        <v>10000</v>
      </c>
      <c r="H105" s="25">
        <v>5000</v>
      </c>
      <c r="I105" s="25">
        <v>7500</v>
      </c>
      <c r="J105" s="38">
        <f t="shared" si="1"/>
        <v>39500</v>
      </c>
    </row>
    <row r="106" s="1" customFormat="1" ht="27.6" spans="1:10">
      <c r="A106" s="22" t="s">
        <v>125</v>
      </c>
      <c r="B106" s="23" t="s">
        <v>124</v>
      </c>
      <c r="C106" s="23">
        <v>2000</v>
      </c>
      <c r="D106" s="30">
        <v>2000</v>
      </c>
      <c r="E106" s="25">
        <v>8000</v>
      </c>
      <c r="F106" s="25">
        <v>5000</v>
      </c>
      <c r="G106" s="25">
        <v>10000</v>
      </c>
      <c r="H106" s="25">
        <v>5000</v>
      </c>
      <c r="I106" s="25">
        <v>5000</v>
      </c>
      <c r="J106" s="38">
        <f t="shared" si="1"/>
        <v>33000</v>
      </c>
    </row>
    <row r="107" s="1" customFormat="1" ht="27.6" spans="1:10">
      <c r="A107" s="22" t="s">
        <v>126</v>
      </c>
      <c r="B107" s="23" t="s">
        <v>124</v>
      </c>
      <c r="C107" s="23">
        <v>1000</v>
      </c>
      <c r="D107" s="30">
        <v>1000</v>
      </c>
      <c r="E107" s="25">
        <v>4000</v>
      </c>
      <c r="F107" s="25">
        <v>5000</v>
      </c>
      <c r="G107" s="25">
        <v>10000</v>
      </c>
      <c r="H107" s="25">
        <v>5000</v>
      </c>
      <c r="I107" s="25">
        <v>2500</v>
      </c>
      <c r="J107" s="38">
        <f t="shared" si="1"/>
        <v>26500</v>
      </c>
    </row>
    <row r="108" s="1" customFormat="1" ht="27.6" spans="1:10">
      <c r="A108" s="22" t="s">
        <v>127</v>
      </c>
      <c r="B108" s="23" t="s">
        <v>124</v>
      </c>
      <c r="C108" s="23">
        <v>500</v>
      </c>
      <c r="D108" s="30">
        <v>1000</v>
      </c>
      <c r="E108" s="25">
        <v>2000</v>
      </c>
      <c r="F108" s="25">
        <v>5000</v>
      </c>
      <c r="G108" s="25">
        <v>10000</v>
      </c>
      <c r="H108" s="25">
        <v>5000</v>
      </c>
      <c r="I108" s="25">
        <v>2500</v>
      </c>
      <c r="J108" s="38">
        <f t="shared" si="1"/>
        <v>24500</v>
      </c>
    </row>
    <row r="109" s="1" customFormat="1" spans="1:10">
      <c r="A109" s="22" t="s">
        <v>128</v>
      </c>
      <c r="B109" s="23" t="s">
        <v>15</v>
      </c>
      <c r="C109" s="23">
        <v>3000</v>
      </c>
      <c r="D109" s="30">
        <v>3000</v>
      </c>
      <c r="E109" s="25">
        <v>12000</v>
      </c>
      <c r="F109" s="25">
        <v>5000</v>
      </c>
      <c r="G109" s="25">
        <v>10000</v>
      </c>
      <c r="H109" s="25">
        <v>5000</v>
      </c>
      <c r="I109" s="25">
        <v>7500</v>
      </c>
      <c r="J109" s="38">
        <f t="shared" si="1"/>
        <v>39500</v>
      </c>
    </row>
    <row r="110" s="1" customFormat="1" spans="1:10">
      <c r="A110" s="22" t="s">
        <v>129</v>
      </c>
      <c r="B110" s="23" t="s">
        <v>15</v>
      </c>
      <c r="C110" s="23">
        <v>3000</v>
      </c>
      <c r="D110" s="30">
        <v>3000</v>
      </c>
      <c r="E110" s="25">
        <v>12000</v>
      </c>
      <c r="F110" s="25">
        <v>5000</v>
      </c>
      <c r="G110" s="25">
        <v>10000</v>
      </c>
      <c r="H110" s="25">
        <v>5000</v>
      </c>
      <c r="I110" s="25">
        <v>7500</v>
      </c>
      <c r="J110" s="38">
        <f t="shared" si="1"/>
        <v>39500</v>
      </c>
    </row>
    <row r="111" s="1" customFormat="1" spans="1:10">
      <c r="A111" s="22" t="s">
        <v>130</v>
      </c>
      <c r="B111" s="23" t="s">
        <v>15</v>
      </c>
      <c r="C111" s="23">
        <v>2000</v>
      </c>
      <c r="D111" s="30">
        <v>2000</v>
      </c>
      <c r="E111" s="25">
        <v>8000</v>
      </c>
      <c r="F111" s="25">
        <v>5000</v>
      </c>
      <c r="G111" s="25">
        <v>10000</v>
      </c>
      <c r="H111" s="25">
        <v>5000</v>
      </c>
      <c r="I111" s="25">
        <v>5000</v>
      </c>
      <c r="J111" s="38">
        <f t="shared" si="1"/>
        <v>33000</v>
      </c>
    </row>
    <row r="112" s="1" customFormat="1" spans="1:10">
      <c r="A112" s="22" t="s">
        <v>131</v>
      </c>
      <c r="B112" s="23" t="s">
        <v>15</v>
      </c>
      <c r="C112" s="23">
        <v>1000</v>
      </c>
      <c r="D112" s="30">
        <v>1000</v>
      </c>
      <c r="E112" s="25">
        <v>4000</v>
      </c>
      <c r="F112" s="25">
        <v>5000</v>
      </c>
      <c r="G112" s="25">
        <v>10000</v>
      </c>
      <c r="H112" s="25">
        <v>5000</v>
      </c>
      <c r="I112" s="25">
        <v>2500</v>
      </c>
      <c r="J112" s="38">
        <f t="shared" si="1"/>
        <v>26500</v>
      </c>
    </row>
    <row r="113" s="1" customFormat="1" ht="27.6" spans="1:10">
      <c r="A113" s="22" t="s">
        <v>132</v>
      </c>
      <c r="B113" s="23" t="s">
        <v>15</v>
      </c>
      <c r="C113" s="23">
        <v>3000</v>
      </c>
      <c r="D113" s="30">
        <v>3000</v>
      </c>
      <c r="E113" s="25">
        <v>12000</v>
      </c>
      <c r="F113" s="25">
        <v>5000</v>
      </c>
      <c r="G113" s="25">
        <v>10000</v>
      </c>
      <c r="H113" s="25">
        <v>5000</v>
      </c>
      <c r="I113" s="25">
        <v>7500</v>
      </c>
      <c r="J113" s="38">
        <f t="shared" si="1"/>
        <v>39500</v>
      </c>
    </row>
    <row r="114" s="1" customFormat="1" ht="27.6" spans="1:10">
      <c r="A114" s="22" t="s">
        <v>133</v>
      </c>
      <c r="B114" s="23" t="s">
        <v>15</v>
      </c>
      <c r="C114" s="23">
        <v>3000</v>
      </c>
      <c r="D114" s="30">
        <v>3000</v>
      </c>
      <c r="E114" s="25">
        <v>12000</v>
      </c>
      <c r="F114" s="25">
        <v>5000</v>
      </c>
      <c r="G114" s="25">
        <v>10000</v>
      </c>
      <c r="H114" s="25">
        <v>5000</v>
      </c>
      <c r="I114" s="25">
        <v>7500</v>
      </c>
      <c r="J114" s="38">
        <f t="shared" si="1"/>
        <v>39500</v>
      </c>
    </row>
    <row r="115" s="1" customFormat="1" spans="1:10">
      <c r="A115" s="22" t="s">
        <v>134</v>
      </c>
      <c r="B115" s="23" t="s">
        <v>15</v>
      </c>
      <c r="C115" s="23">
        <v>2000</v>
      </c>
      <c r="D115" s="30">
        <v>2000</v>
      </c>
      <c r="E115" s="25">
        <v>8000</v>
      </c>
      <c r="F115" s="25">
        <v>5000</v>
      </c>
      <c r="G115" s="25">
        <v>10000</v>
      </c>
      <c r="H115" s="25">
        <v>5000</v>
      </c>
      <c r="I115" s="25">
        <v>5000</v>
      </c>
      <c r="J115" s="38">
        <f t="shared" si="1"/>
        <v>33000</v>
      </c>
    </row>
    <row r="116" s="1" customFormat="1" spans="1:10">
      <c r="A116" s="22" t="s">
        <v>135</v>
      </c>
      <c r="B116" s="23" t="s">
        <v>15</v>
      </c>
      <c r="C116" s="23">
        <v>2000</v>
      </c>
      <c r="D116" s="30">
        <v>2000</v>
      </c>
      <c r="E116" s="25">
        <v>8000</v>
      </c>
      <c r="F116" s="25">
        <v>5000</v>
      </c>
      <c r="G116" s="25">
        <v>10000</v>
      </c>
      <c r="H116" s="25">
        <v>5000</v>
      </c>
      <c r="I116" s="25">
        <v>5000</v>
      </c>
      <c r="J116" s="38">
        <f t="shared" si="1"/>
        <v>33000</v>
      </c>
    </row>
    <row r="117" s="1" customFormat="1" spans="1:10">
      <c r="A117" s="22" t="s">
        <v>136</v>
      </c>
      <c r="B117" s="23" t="s">
        <v>15</v>
      </c>
      <c r="C117" s="23">
        <v>1000</v>
      </c>
      <c r="D117" s="30">
        <v>500</v>
      </c>
      <c r="E117" s="25">
        <v>4000</v>
      </c>
      <c r="F117" s="25">
        <v>5000</v>
      </c>
      <c r="G117" s="25">
        <v>10000</v>
      </c>
      <c r="H117" s="25">
        <v>5000</v>
      </c>
      <c r="I117" s="25">
        <v>1250</v>
      </c>
      <c r="J117" s="38">
        <f t="shared" si="1"/>
        <v>25250</v>
      </c>
    </row>
    <row r="118" s="1" customFormat="1" spans="1:10">
      <c r="A118" s="22" t="s">
        <v>137</v>
      </c>
      <c r="B118" s="23" t="s">
        <v>15</v>
      </c>
      <c r="C118" s="23">
        <v>1000</v>
      </c>
      <c r="D118" s="30">
        <v>500</v>
      </c>
      <c r="E118" s="25">
        <v>4000</v>
      </c>
      <c r="F118" s="25">
        <v>5000</v>
      </c>
      <c r="G118" s="25">
        <v>10000</v>
      </c>
      <c r="H118" s="25">
        <v>5000</v>
      </c>
      <c r="I118" s="25">
        <v>1250</v>
      </c>
      <c r="J118" s="38">
        <f t="shared" si="1"/>
        <v>25250</v>
      </c>
    </row>
    <row r="119" s="1" customFormat="1" spans="1:10">
      <c r="A119" s="22" t="s">
        <v>138</v>
      </c>
      <c r="B119" s="23" t="s">
        <v>15</v>
      </c>
      <c r="C119" s="23">
        <v>500</v>
      </c>
      <c r="D119" s="30">
        <v>1000</v>
      </c>
      <c r="E119" s="25">
        <v>2000</v>
      </c>
      <c r="F119" s="25">
        <v>5000</v>
      </c>
      <c r="G119" s="25">
        <v>10000</v>
      </c>
      <c r="H119" s="25">
        <v>5000</v>
      </c>
      <c r="I119" s="25">
        <v>2500</v>
      </c>
      <c r="J119" s="38">
        <f t="shared" si="1"/>
        <v>24500</v>
      </c>
    </row>
    <row r="120" s="1" customFormat="1" spans="1:10">
      <c r="A120" s="22" t="s">
        <v>139</v>
      </c>
      <c r="B120" s="23" t="s">
        <v>15</v>
      </c>
      <c r="C120" s="23">
        <v>500</v>
      </c>
      <c r="D120" s="30">
        <v>1000</v>
      </c>
      <c r="E120" s="25">
        <v>2000</v>
      </c>
      <c r="F120" s="25">
        <v>5000</v>
      </c>
      <c r="G120" s="25">
        <v>10000</v>
      </c>
      <c r="H120" s="25">
        <v>5000</v>
      </c>
      <c r="I120" s="25">
        <v>2500</v>
      </c>
      <c r="J120" s="38">
        <f t="shared" si="1"/>
        <v>24500</v>
      </c>
    </row>
    <row r="121" s="1" customFormat="1" spans="1:10">
      <c r="A121" s="22" t="s">
        <v>140</v>
      </c>
      <c r="B121" s="23" t="s">
        <v>88</v>
      </c>
      <c r="C121" s="23">
        <v>3000</v>
      </c>
      <c r="D121" s="30">
        <v>3000</v>
      </c>
      <c r="E121" s="25">
        <v>12000</v>
      </c>
      <c r="F121" s="25">
        <v>5000</v>
      </c>
      <c r="G121" s="25">
        <v>10000</v>
      </c>
      <c r="H121" s="25">
        <v>5000</v>
      </c>
      <c r="I121" s="25">
        <v>7500</v>
      </c>
      <c r="J121" s="38">
        <f t="shared" si="1"/>
        <v>39500</v>
      </c>
    </row>
    <row r="122" s="1" customFormat="1" spans="1:10">
      <c r="A122" s="22" t="s">
        <v>141</v>
      </c>
      <c r="B122" s="23" t="s">
        <v>88</v>
      </c>
      <c r="C122" s="23">
        <v>2000</v>
      </c>
      <c r="D122" s="30">
        <v>2000</v>
      </c>
      <c r="E122" s="25">
        <v>8000</v>
      </c>
      <c r="F122" s="25">
        <v>5000</v>
      </c>
      <c r="G122" s="25">
        <v>10000</v>
      </c>
      <c r="H122" s="25">
        <v>5000</v>
      </c>
      <c r="I122" s="25">
        <v>5000</v>
      </c>
      <c r="J122" s="38">
        <f t="shared" si="1"/>
        <v>33000</v>
      </c>
    </row>
    <row r="123" s="1" customFormat="1" spans="1:10">
      <c r="A123" s="22" t="s">
        <v>142</v>
      </c>
      <c r="B123" s="23"/>
      <c r="C123" s="23">
        <v>1000</v>
      </c>
      <c r="D123" s="30">
        <v>1500</v>
      </c>
      <c r="E123" s="25">
        <v>4000</v>
      </c>
      <c r="F123" s="25">
        <v>5000</v>
      </c>
      <c r="G123" s="25">
        <v>10000</v>
      </c>
      <c r="H123" s="25">
        <v>5000</v>
      </c>
      <c r="I123" s="25">
        <v>3750</v>
      </c>
      <c r="J123" s="38">
        <f t="shared" si="1"/>
        <v>27750</v>
      </c>
    </row>
    <row r="124" s="1" customFormat="1" ht="27.6" spans="1:10">
      <c r="A124" s="22" t="s">
        <v>143</v>
      </c>
      <c r="B124" s="23" t="s">
        <v>15</v>
      </c>
      <c r="C124" s="23">
        <v>5000</v>
      </c>
      <c r="D124" s="30">
        <v>1000</v>
      </c>
      <c r="E124" s="25">
        <v>20000</v>
      </c>
      <c r="F124" s="25">
        <v>5000</v>
      </c>
      <c r="G124" s="25">
        <v>10000</v>
      </c>
      <c r="H124" s="25">
        <v>5000</v>
      </c>
      <c r="I124" s="25">
        <v>2500</v>
      </c>
      <c r="J124" s="38">
        <f t="shared" si="1"/>
        <v>42500</v>
      </c>
    </row>
    <row r="125" s="1" customFormat="1" ht="27.6" spans="1:10">
      <c r="A125" s="22" t="s">
        <v>144</v>
      </c>
      <c r="B125" s="23" t="s">
        <v>15</v>
      </c>
      <c r="C125" s="23">
        <v>4000</v>
      </c>
      <c r="D125" s="30">
        <v>500</v>
      </c>
      <c r="E125" s="25">
        <v>16000</v>
      </c>
      <c r="F125" s="25">
        <v>5000</v>
      </c>
      <c r="G125" s="25">
        <v>10000</v>
      </c>
      <c r="H125" s="25">
        <v>5000</v>
      </c>
      <c r="I125" s="25">
        <v>1250</v>
      </c>
      <c r="J125" s="38">
        <f t="shared" si="1"/>
        <v>37250</v>
      </c>
    </row>
    <row r="126" s="1" customFormat="1" spans="1:10">
      <c r="A126" s="22" t="s">
        <v>145</v>
      </c>
      <c r="B126" s="23" t="s">
        <v>15</v>
      </c>
      <c r="C126" s="23">
        <v>3000</v>
      </c>
      <c r="D126" s="30">
        <v>3000</v>
      </c>
      <c r="E126" s="25">
        <v>12000</v>
      </c>
      <c r="F126" s="25">
        <v>5000</v>
      </c>
      <c r="G126" s="25">
        <v>10000</v>
      </c>
      <c r="H126" s="25">
        <v>5000</v>
      </c>
      <c r="I126" s="25">
        <v>7500</v>
      </c>
      <c r="J126" s="38">
        <f t="shared" si="1"/>
        <v>39500</v>
      </c>
    </row>
    <row r="127" s="1" customFormat="1" ht="27.6" spans="1:10">
      <c r="A127" s="22" t="s">
        <v>146</v>
      </c>
      <c r="B127" s="23" t="s">
        <v>15</v>
      </c>
      <c r="C127" s="23">
        <v>2000</v>
      </c>
      <c r="D127" s="30">
        <v>2000</v>
      </c>
      <c r="E127" s="25">
        <v>8000</v>
      </c>
      <c r="F127" s="25">
        <v>5000</v>
      </c>
      <c r="G127" s="25">
        <v>10000</v>
      </c>
      <c r="H127" s="25">
        <v>5000</v>
      </c>
      <c r="I127" s="25">
        <v>5000</v>
      </c>
      <c r="J127" s="38">
        <f t="shared" si="1"/>
        <v>33000</v>
      </c>
    </row>
    <row r="128" s="1" customFormat="1" spans="1:10">
      <c r="A128" s="22" t="s">
        <v>147</v>
      </c>
      <c r="B128" s="23" t="s">
        <v>15</v>
      </c>
      <c r="C128" s="23">
        <v>1000</v>
      </c>
      <c r="D128" s="30">
        <v>1500</v>
      </c>
      <c r="E128" s="25">
        <v>4000</v>
      </c>
      <c r="F128" s="25">
        <v>5000</v>
      </c>
      <c r="G128" s="25">
        <v>10000</v>
      </c>
      <c r="H128" s="25">
        <v>5000</v>
      </c>
      <c r="I128" s="25">
        <v>3750</v>
      </c>
      <c r="J128" s="38">
        <f t="shared" si="1"/>
        <v>27750</v>
      </c>
    </row>
    <row r="129" s="1" customFormat="1" spans="1:10 16350:16383">
      <c r="A129" s="22" t="s">
        <v>148</v>
      </c>
      <c r="B129" s="23" t="s">
        <v>149</v>
      </c>
      <c r="C129" s="23">
        <v>500</v>
      </c>
      <c r="D129" s="30">
        <v>1000</v>
      </c>
      <c r="E129" s="25">
        <v>2000</v>
      </c>
      <c r="F129" s="25">
        <v>5000</v>
      </c>
      <c r="G129" s="25">
        <v>10000</v>
      </c>
      <c r="H129" s="25">
        <v>5000</v>
      </c>
      <c r="I129" s="25">
        <v>2500</v>
      </c>
      <c r="J129" s="38">
        <f t="shared" si="1"/>
        <v>24500</v>
      </c>
    </row>
    <row r="130" s="1" customFormat="1" ht="27.6" spans="1:10 16350:16383">
      <c r="A130" s="22" t="s">
        <v>150</v>
      </c>
      <c r="B130" s="23" t="s">
        <v>88</v>
      </c>
      <c r="C130" s="23">
        <v>3000</v>
      </c>
      <c r="D130" s="30">
        <v>3000</v>
      </c>
      <c r="E130" s="25">
        <v>12000</v>
      </c>
      <c r="F130" s="25">
        <v>5000</v>
      </c>
      <c r="G130" s="25">
        <v>10000</v>
      </c>
      <c r="H130" s="25">
        <v>5000</v>
      </c>
      <c r="I130" s="25">
        <v>7500</v>
      </c>
      <c r="J130" s="38">
        <f t="shared" si="1"/>
        <v>39500</v>
      </c>
    </row>
    <row r="131" s="1" customFormat="1" ht="27.6" spans="1:10 16350:16383">
      <c r="A131" s="22" t="s">
        <v>151</v>
      </c>
      <c r="B131" s="23" t="s">
        <v>88</v>
      </c>
      <c r="C131" s="23">
        <v>2000</v>
      </c>
      <c r="D131" s="30">
        <v>2000</v>
      </c>
      <c r="E131" s="25">
        <v>8000</v>
      </c>
      <c r="F131" s="25">
        <v>5000</v>
      </c>
      <c r="G131" s="25">
        <v>10000</v>
      </c>
      <c r="H131" s="25">
        <v>5000</v>
      </c>
      <c r="I131" s="25">
        <v>5000</v>
      </c>
      <c r="J131" s="38">
        <f t="shared" si="1"/>
        <v>33000</v>
      </c>
    </row>
    <row r="132" s="1" customFormat="1" ht="27.6" spans="1:10 16350:16383">
      <c r="A132" s="22" t="s">
        <v>152</v>
      </c>
      <c r="B132" s="23" t="s">
        <v>88</v>
      </c>
      <c r="C132" s="23">
        <v>1000</v>
      </c>
      <c r="D132" s="30">
        <v>1000</v>
      </c>
      <c r="E132" s="25">
        <v>4000</v>
      </c>
      <c r="F132" s="25">
        <v>5000</v>
      </c>
      <c r="G132" s="25">
        <v>10000</v>
      </c>
      <c r="H132" s="25">
        <v>5000</v>
      </c>
      <c r="I132" s="25">
        <v>2500</v>
      </c>
      <c r="J132" s="38">
        <f t="shared" si="1"/>
        <v>26500</v>
      </c>
    </row>
    <row r="133" s="1" customFormat="1" spans="1:10 16350:16383">
      <c r="A133" s="34" t="s">
        <v>153</v>
      </c>
      <c r="B133" s="23" t="s">
        <v>154</v>
      </c>
      <c r="C133" s="23"/>
      <c r="D133" s="30">
        <v>3000</v>
      </c>
      <c r="E133" s="25">
        <v>0</v>
      </c>
      <c r="F133" s="25">
        <v>5000</v>
      </c>
      <c r="G133" s="25">
        <v>10000</v>
      </c>
      <c r="H133" s="25">
        <v>5000</v>
      </c>
      <c r="I133" s="25">
        <v>7500</v>
      </c>
      <c r="J133" s="38">
        <f t="shared" si="1"/>
        <v>27500</v>
      </c>
    </row>
    <row r="134" s="1" customFormat="1" spans="1:10 16350:16383">
      <c r="A134" s="34" t="s">
        <v>155</v>
      </c>
      <c r="B134" s="23" t="s">
        <v>154</v>
      </c>
      <c r="C134" s="23"/>
      <c r="D134" s="30">
        <v>2000</v>
      </c>
      <c r="E134" s="25">
        <v>0</v>
      </c>
      <c r="F134" s="25">
        <v>5000</v>
      </c>
      <c r="G134" s="25">
        <v>10000</v>
      </c>
      <c r="H134" s="25">
        <v>5000</v>
      </c>
      <c r="I134" s="25">
        <v>5000</v>
      </c>
      <c r="J134" s="38">
        <f t="shared" si="1"/>
        <v>25000</v>
      </c>
    </row>
    <row r="135" s="1" customFormat="1" spans="1:10 16350:16383">
      <c r="A135" s="34" t="s">
        <v>156</v>
      </c>
      <c r="B135" s="23" t="s">
        <v>154</v>
      </c>
      <c r="C135" s="23"/>
      <c r="D135" s="30">
        <v>1000</v>
      </c>
      <c r="E135" s="25">
        <v>0</v>
      </c>
      <c r="F135" s="25">
        <v>5000</v>
      </c>
      <c r="G135" s="25">
        <v>10000</v>
      </c>
      <c r="H135" s="25">
        <v>5000</v>
      </c>
      <c r="I135" s="25">
        <v>2500</v>
      </c>
      <c r="J135" s="38">
        <f t="shared" ref="J135:J198" si="2">SUM(E135:I135)</f>
        <v>22500</v>
      </c>
    </row>
    <row r="136" s="1" customFormat="1" spans="1:10 16350:16383">
      <c r="A136" s="31" t="s">
        <v>157</v>
      </c>
      <c r="B136" s="31"/>
      <c r="C136" s="31"/>
      <c r="D136" s="31"/>
      <c r="E136" s="31"/>
      <c r="F136" s="31"/>
      <c r="G136" s="31"/>
      <c r="H136" s="31"/>
      <c r="I136" s="32"/>
      <c r="J136" s="31"/>
      <c r="XDV136" s="4"/>
      <c r="XDW136" s="4"/>
      <c r="XDX136" s="4"/>
      <c r="XDY136" s="4"/>
      <c r="XDZ136" s="4"/>
      <c r="XEA136" s="4"/>
      <c r="XEB136" s="4"/>
      <c r="XEC136" s="4"/>
      <c r="XED136" s="4"/>
      <c r="XEE136" s="4"/>
      <c r="XEF136" s="4"/>
      <c r="XEG136" s="4"/>
      <c r="XEH136" s="4"/>
      <c r="XEI136" s="4"/>
      <c r="XEJ136" s="4"/>
      <c r="XEK136" s="4"/>
      <c r="XEL136" s="4"/>
      <c r="XEM136" s="4"/>
      <c r="XEN136" s="4"/>
      <c r="XEO136" s="4"/>
      <c r="XEP136" s="4"/>
      <c r="XEQ136" s="4"/>
      <c r="XER136" s="4"/>
      <c r="XES136" s="4"/>
      <c r="XET136" s="4"/>
      <c r="XEU136" s="4"/>
      <c r="XEV136" s="4"/>
      <c r="XEW136" s="4"/>
      <c r="XEX136" s="4"/>
      <c r="XEY136" s="4"/>
      <c r="XEZ136" s="4"/>
      <c r="XFA136" s="4"/>
      <c r="XFB136" s="4"/>
      <c r="XFC136" s="4"/>
    </row>
    <row r="137" s="1" customFormat="1" spans="1:10 16350:16383">
      <c r="A137" s="19" t="s">
        <v>158</v>
      </c>
      <c r="B137" s="19"/>
      <c r="C137" s="19"/>
      <c r="D137" s="19"/>
      <c r="E137" s="19"/>
      <c r="F137" s="19"/>
      <c r="G137" s="19"/>
      <c r="H137" s="19"/>
      <c r="I137" s="33"/>
      <c r="J137" s="19"/>
      <c r="XDV137" s="4"/>
      <c r="XDW137" s="4"/>
      <c r="XDX137" s="4"/>
      <c r="XDY137" s="4"/>
      <c r="XDZ137" s="4"/>
      <c r="XEA137" s="4"/>
      <c r="XEB137" s="4"/>
      <c r="XEC137" s="4"/>
      <c r="XED137" s="4"/>
      <c r="XEE137" s="4"/>
      <c r="XEF137" s="4"/>
      <c r="XEG137" s="4"/>
      <c r="XEH137" s="4"/>
      <c r="XEI137" s="4"/>
      <c r="XEJ137" s="4"/>
      <c r="XEK137" s="4"/>
      <c r="XEL137" s="4"/>
      <c r="XEM137" s="4"/>
      <c r="XEN137" s="4"/>
      <c r="XEO137" s="4"/>
      <c r="XEP137" s="4"/>
      <c r="XEQ137" s="4"/>
      <c r="XER137" s="4"/>
      <c r="XES137" s="4"/>
      <c r="XET137" s="4"/>
      <c r="XEU137" s="4"/>
      <c r="XEV137" s="4"/>
      <c r="XEW137" s="4"/>
      <c r="XEX137" s="4"/>
      <c r="XEY137" s="4"/>
      <c r="XEZ137" s="4"/>
      <c r="XFA137" s="4"/>
      <c r="XFB137" s="4"/>
      <c r="XFC137" s="4"/>
    </row>
    <row r="138" s="1" customFormat="1" spans="1:10 16350:16383">
      <c r="A138" s="22" t="s">
        <v>159</v>
      </c>
      <c r="B138" s="23" t="s">
        <v>160</v>
      </c>
      <c r="C138" s="23">
        <v>4000</v>
      </c>
      <c r="D138" s="30">
        <v>3000</v>
      </c>
      <c r="E138" s="25">
        <v>16000</v>
      </c>
      <c r="F138" s="25">
        <v>5000</v>
      </c>
      <c r="G138" s="25">
        <v>10000</v>
      </c>
      <c r="H138" s="25">
        <v>5000</v>
      </c>
      <c r="I138" s="25">
        <v>7500</v>
      </c>
      <c r="J138" s="38">
        <f t="shared" si="2"/>
        <v>43500</v>
      </c>
    </row>
    <row r="139" s="1" customFormat="1" spans="1:10 16350:16383">
      <c r="A139" s="22" t="s">
        <v>161</v>
      </c>
      <c r="B139" s="23" t="s">
        <v>160</v>
      </c>
      <c r="C139" s="23">
        <v>3000</v>
      </c>
      <c r="D139" s="30">
        <v>2000</v>
      </c>
      <c r="E139" s="25">
        <v>12000</v>
      </c>
      <c r="F139" s="25">
        <v>5000</v>
      </c>
      <c r="G139" s="25">
        <v>10000</v>
      </c>
      <c r="H139" s="25">
        <v>5000</v>
      </c>
      <c r="I139" s="25">
        <v>5000</v>
      </c>
      <c r="J139" s="38">
        <f t="shared" si="2"/>
        <v>37000</v>
      </c>
    </row>
    <row r="140" s="1" customFormat="1" spans="1:10 16350:16383">
      <c r="A140" s="22" t="s">
        <v>162</v>
      </c>
      <c r="B140" s="23" t="s">
        <v>160</v>
      </c>
      <c r="C140" s="23">
        <v>2000</v>
      </c>
      <c r="D140" s="30">
        <v>1500</v>
      </c>
      <c r="E140" s="25">
        <v>8000</v>
      </c>
      <c r="F140" s="25">
        <v>5000</v>
      </c>
      <c r="G140" s="25">
        <v>10000</v>
      </c>
      <c r="H140" s="25">
        <v>5000</v>
      </c>
      <c r="I140" s="25">
        <v>3750</v>
      </c>
      <c r="J140" s="38">
        <f t="shared" si="2"/>
        <v>31750</v>
      </c>
    </row>
    <row r="141" s="1" customFormat="1" ht="27.6" spans="1:10 16350:16383">
      <c r="A141" s="22" t="s">
        <v>163</v>
      </c>
      <c r="B141" s="23" t="s">
        <v>160</v>
      </c>
      <c r="C141" s="23">
        <v>1000</v>
      </c>
      <c r="D141" s="30">
        <v>1000</v>
      </c>
      <c r="E141" s="25">
        <v>4000</v>
      </c>
      <c r="F141" s="25">
        <v>5000</v>
      </c>
      <c r="G141" s="25">
        <v>10000</v>
      </c>
      <c r="H141" s="25">
        <v>5000</v>
      </c>
      <c r="I141" s="25">
        <v>2500</v>
      </c>
      <c r="J141" s="38">
        <f t="shared" si="2"/>
        <v>26500</v>
      </c>
    </row>
    <row r="142" s="1" customFormat="1" spans="1:10 16350:16383">
      <c r="A142" s="22" t="s">
        <v>164</v>
      </c>
      <c r="B142" s="23" t="s">
        <v>160</v>
      </c>
      <c r="C142" s="23">
        <v>500</v>
      </c>
      <c r="D142" s="30">
        <v>500</v>
      </c>
      <c r="E142" s="25">
        <v>2000</v>
      </c>
      <c r="F142" s="25">
        <v>5000</v>
      </c>
      <c r="G142" s="25">
        <v>10000</v>
      </c>
      <c r="H142" s="25">
        <v>5000</v>
      </c>
      <c r="I142" s="25">
        <v>1250</v>
      </c>
      <c r="J142" s="38">
        <f t="shared" si="2"/>
        <v>23250</v>
      </c>
    </row>
    <row r="143" s="1" customFormat="1" ht="27.6" spans="1:10 16350:16383">
      <c r="A143" s="22" t="s">
        <v>165</v>
      </c>
      <c r="B143" s="23" t="s">
        <v>166</v>
      </c>
      <c r="C143" s="23">
        <v>4000</v>
      </c>
      <c r="D143" s="30">
        <v>3000</v>
      </c>
      <c r="E143" s="25">
        <v>16000</v>
      </c>
      <c r="F143" s="25">
        <v>5000</v>
      </c>
      <c r="G143" s="25">
        <v>10000</v>
      </c>
      <c r="H143" s="25">
        <v>5000</v>
      </c>
      <c r="I143" s="25">
        <v>7500</v>
      </c>
      <c r="J143" s="38">
        <f t="shared" si="2"/>
        <v>43500</v>
      </c>
    </row>
    <row r="144" s="1" customFormat="1" ht="27.6" spans="1:10 16350:16383">
      <c r="A144" s="22" t="s">
        <v>167</v>
      </c>
      <c r="B144" s="23" t="s">
        <v>166</v>
      </c>
      <c r="C144" s="23">
        <v>3000</v>
      </c>
      <c r="D144" s="30">
        <v>2000</v>
      </c>
      <c r="E144" s="25">
        <v>12000</v>
      </c>
      <c r="F144" s="25">
        <v>5000</v>
      </c>
      <c r="G144" s="25">
        <v>10000</v>
      </c>
      <c r="H144" s="25">
        <v>5000</v>
      </c>
      <c r="I144" s="25">
        <v>5000</v>
      </c>
      <c r="J144" s="38">
        <f t="shared" si="2"/>
        <v>37000</v>
      </c>
    </row>
    <row r="145" s="1" customFormat="1" ht="27.6" spans="1:10">
      <c r="A145" s="22" t="s">
        <v>168</v>
      </c>
      <c r="B145" s="23" t="s">
        <v>166</v>
      </c>
      <c r="C145" s="23">
        <v>2000</v>
      </c>
      <c r="D145" s="30">
        <v>1500</v>
      </c>
      <c r="E145" s="25">
        <v>8000</v>
      </c>
      <c r="F145" s="25">
        <v>5000</v>
      </c>
      <c r="G145" s="25">
        <v>10000</v>
      </c>
      <c r="H145" s="25">
        <v>5000</v>
      </c>
      <c r="I145" s="25">
        <v>3750</v>
      </c>
      <c r="J145" s="38">
        <f t="shared" si="2"/>
        <v>31750</v>
      </c>
    </row>
    <row r="146" s="1" customFormat="1" ht="27.6" spans="1:10">
      <c r="A146" s="22" t="s">
        <v>169</v>
      </c>
      <c r="B146" s="23" t="s">
        <v>166</v>
      </c>
      <c r="C146" s="23">
        <v>1000</v>
      </c>
      <c r="D146" s="30">
        <v>1000</v>
      </c>
      <c r="E146" s="25">
        <v>4000</v>
      </c>
      <c r="F146" s="25">
        <v>5000</v>
      </c>
      <c r="G146" s="25">
        <v>10000</v>
      </c>
      <c r="H146" s="25">
        <v>5000</v>
      </c>
      <c r="I146" s="25">
        <v>2500</v>
      </c>
      <c r="J146" s="38">
        <f t="shared" si="2"/>
        <v>26500</v>
      </c>
    </row>
    <row r="147" s="1" customFormat="1" spans="1:10">
      <c r="A147" s="22" t="s">
        <v>170</v>
      </c>
      <c r="B147" s="23" t="s">
        <v>171</v>
      </c>
      <c r="C147" s="23">
        <v>4000</v>
      </c>
      <c r="D147" s="30">
        <v>3000</v>
      </c>
      <c r="E147" s="25">
        <v>16000</v>
      </c>
      <c r="F147" s="25">
        <v>5000</v>
      </c>
      <c r="G147" s="25">
        <v>10000</v>
      </c>
      <c r="H147" s="25">
        <v>5000</v>
      </c>
      <c r="I147" s="25">
        <v>7500</v>
      </c>
      <c r="J147" s="38">
        <f t="shared" si="2"/>
        <v>43500</v>
      </c>
    </row>
    <row r="148" s="1" customFormat="1" spans="1:10">
      <c r="A148" s="22" t="s">
        <v>172</v>
      </c>
      <c r="B148" s="23" t="s">
        <v>171</v>
      </c>
      <c r="C148" s="23">
        <v>3000</v>
      </c>
      <c r="D148" s="30">
        <v>2000</v>
      </c>
      <c r="E148" s="25">
        <v>12000</v>
      </c>
      <c r="F148" s="25">
        <v>5000</v>
      </c>
      <c r="G148" s="25">
        <v>10000</v>
      </c>
      <c r="H148" s="25">
        <v>5000</v>
      </c>
      <c r="I148" s="25">
        <v>5000</v>
      </c>
      <c r="J148" s="38">
        <f t="shared" si="2"/>
        <v>37000</v>
      </c>
    </row>
    <row r="149" s="1" customFormat="1" spans="1:10">
      <c r="A149" s="22" t="s">
        <v>173</v>
      </c>
      <c r="B149" s="23" t="s">
        <v>171</v>
      </c>
      <c r="C149" s="23">
        <v>2000</v>
      </c>
      <c r="D149" s="30">
        <v>1500</v>
      </c>
      <c r="E149" s="25">
        <v>8000</v>
      </c>
      <c r="F149" s="25">
        <v>5000</v>
      </c>
      <c r="G149" s="25">
        <v>10000</v>
      </c>
      <c r="H149" s="25">
        <v>5000</v>
      </c>
      <c r="I149" s="25">
        <v>3750</v>
      </c>
      <c r="J149" s="38">
        <f t="shared" si="2"/>
        <v>31750</v>
      </c>
    </row>
    <row r="150" s="1" customFormat="1" spans="1:10">
      <c r="A150" s="22" t="s">
        <v>174</v>
      </c>
      <c r="B150" s="23" t="s">
        <v>171</v>
      </c>
      <c r="C150" s="23">
        <v>1000</v>
      </c>
      <c r="D150" s="30">
        <v>1000</v>
      </c>
      <c r="E150" s="25">
        <v>4000</v>
      </c>
      <c r="F150" s="25">
        <v>5000</v>
      </c>
      <c r="G150" s="25">
        <v>10000</v>
      </c>
      <c r="H150" s="25">
        <v>5000</v>
      </c>
      <c r="I150" s="25">
        <v>2500</v>
      </c>
      <c r="J150" s="38">
        <f t="shared" si="2"/>
        <v>26500</v>
      </c>
    </row>
    <row r="151" s="1" customFormat="1" spans="1:10">
      <c r="A151" s="22" t="s">
        <v>175</v>
      </c>
      <c r="B151" s="23" t="s">
        <v>171</v>
      </c>
      <c r="C151" s="23"/>
      <c r="D151" s="24">
        <v>3000</v>
      </c>
      <c r="E151" s="25">
        <v>0</v>
      </c>
      <c r="F151" s="25">
        <v>5000</v>
      </c>
      <c r="G151" s="25">
        <v>10000</v>
      </c>
      <c r="H151" s="25">
        <v>5000</v>
      </c>
      <c r="I151" s="25">
        <v>7500</v>
      </c>
      <c r="J151" s="38">
        <f t="shared" si="2"/>
        <v>27500</v>
      </c>
    </row>
    <row r="152" s="1" customFormat="1" spans="1:10">
      <c r="A152" s="22" t="s">
        <v>176</v>
      </c>
      <c r="B152" s="23" t="s">
        <v>171</v>
      </c>
      <c r="C152" s="23"/>
      <c r="D152" s="24">
        <v>2000</v>
      </c>
      <c r="E152" s="25">
        <v>0</v>
      </c>
      <c r="F152" s="25">
        <v>5000</v>
      </c>
      <c r="G152" s="25">
        <v>10000</v>
      </c>
      <c r="H152" s="25">
        <v>5000</v>
      </c>
      <c r="I152" s="25">
        <v>5000</v>
      </c>
      <c r="J152" s="38">
        <f t="shared" si="2"/>
        <v>25000</v>
      </c>
    </row>
    <row r="153" s="1" customFormat="1" spans="1:10">
      <c r="A153" s="22" t="s">
        <v>177</v>
      </c>
      <c r="B153" s="23" t="s">
        <v>171</v>
      </c>
      <c r="C153" s="23"/>
      <c r="D153" s="24">
        <v>1500</v>
      </c>
      <c r="E153" s="25">
        <v>0</v>
      </c>
      <c r="F153" s="25">
        <v>5000</v>
      </c>
      <c r="G153" s="25">
        <v>10000</v>
      </c>
      <c r="H153" s="25">
        <v>5000</v>
      </c>
      <c r="I153" s="25">
        <v>3750</v>
      </c>
      <c r="J153" s="38">
        <f t="shared" si="2"/>
        <v>23750</v>
      </c>
    </row>
    <row r="154" s="1" customFormat="1" ht="27.6" spans="1:10">
      <c r="A154" s="22" t="s">
        <v>178</v>
      </c>
      <c r="B154" s="23" t="s">
        <v>179</v>
      </c>
      <c r="C154" s="23">
        <v>3000</v>
      </c>
      <c r="D154" s="24">
        <v>3000</v>
      </c>
      <c r="E154" s="25">
        <v>12000</v>
      </c>
      <c r="F154" s="25">
        <v>5000</v>
      </c>
      <c r="G154" s="25">
        <v>10000</v>
      </c>
      <c r="H154" s="25">
        <v>5000</v>
      </c>
      <c r="I154" s="25">
        <v>7500</v>
      </c>
      <c r="J154" s="38">
        <f t="shared" si="2"/>
        <v>39500</v>
      </c>
    </row>
    <row r="155" s="1" customFormat="1" ht="27.6" spans="1:10">
      <c r="A155" s="22" t="s">
        <v>180</v>
      </c>
      <c r="B155" s="23" t="s">
        <v>179</v>
      </c>
      <c r="C155" s="23">
        <v>2000</v>
      </c>
      <c r="D155" s="24">
        <v>2000</v>
      </c>
      <c r="E155" s="25">
        <v>8000</v>
      </c>
      <c r="F155" s="25">
        <v>5000</v>
      </c>
      <c r="G155" s="25">
        <v>10000</v>
      </c>
      <c r="H155" s="25">
        <v>5000</v>
      </c>
      <c r="I155" s="25">
        <v>5000</v>
      </c>
      <c r="J155" s="38">
        <f t="shared" si="2"/>
        <v>33000</v>
      </c>
    </row>
    <row r="156" s="1" customFormat="1" ht="27.6" spans="1:10">
      <c r="A156" s="22" t="s">
        <v>181</v>
      </c>
      <c r="B156" s="23" t="s">
        <v>179</v>
      </c>
      <c r="C156" s="23">
        <v>1000</v>
      </c>
      <c r="D156" s="24">
        <v>1500</v>
      </c>
      <c r="E156" s="25">
        <v>4000</v>
      </c>
      <c r="F156" s="25">
        <v>5000</v>
      </c>
      <c r="G156" s="25">
        <v>10000</v>
      </c>
      <c r="H156" s="25">
        <v>5000</v>
      </c>
      <c r="I156" s="25">
        <v>3750</v>
      </c>
      <c r="J156" s="38">
        <f t="shared" si="2"/>
        <v>27750</v>
      </c>
    </row>
    <row r="157" s="1" customFormat="1" spans="1:10">
      <c r="A157" s="22" t="s">
        <v>182</v>
      </c>
      <c r="B157" s="23" t="s">
        <v>160</v>
      </c>
      <c r="C157" s="23">
        <v>3000</v>
      </c>
      <c r="D157" s="30">
        <v>3000</v>
      </c>
      <c r="E157" s="25">
        <v>12000</v>
      </c>
      <c r="F157" s="25">
        <v>5000</v>
      </c>
      <c r="G157" s="25">
        <v>10000</v>
      </c>
      <c r="H157" s="25">
        <v>5000</v>
      </c>
      <c r="I157" s="25">
        <v>7500</v>
      </c>
      <c r="J157" s="38">
        <f t="shared" si="2"/>
        <v>39500</v>
      </c>
    </row>
    <row r="158" s="1" customFormat="1" spans="1:10">
      <c r="A158" s="22" t="s">
        <v>183</v>
      </c>
      <c r="B158" s="23" t="s">
        <v>160</v>
      </c>
      <c r="C158" s="23">
        <v>2000</v>
      </c>
      <c r="D158" s="30">
        <v>2000</v>
      </c>
      <c r="E158" s="25">
        <v>8000</v>
      </c>
      <c r="F158" s="25">
        <v>5000</v>
      </c>
      <c r="G158" s="25">
        <v>10000</v>
      </c>
      <c r="H158" s="25">
        <v>5000</v>
      </c>
      <c r="I158" s="25">
        <v>5000</v>
      </c>
      <c r="J158" s="38">
        <f t="shared" si="2"/>
        <v>33000</v>
      </c>
    </row>
    <row r="159" s="1" customFormat="1" spans="1:10">
      <c r="A159" s="22" t="s">
        <v>184</v>
      </c>
      <c r="B159" s="23" t="s">
        <v>160</v>
      </c>
      <c r="C159" s="23">
        <v>1000</v>
      </c>
      <c r="D159" s="30">
        <v>500</v>
      </c>
      <c r="E159" s="25">
        <v>4000</v>
      </c>
      <c r="F159" s="25">
        <v>5000</v>
      </c>
      <c r="G159" s="25">
        <v>10000</v>
      </c>
      <c r="H159" s="25">
        <v>5000</v>
      </c>
      <c r="I159" s="25">
        <v>1250</v>
      </c>
      <c r="J159" s="38">
        <f t="shared" si="2"/>
        <v>25250</v>
      </c>
    </row>
    <row r="160" s="1" customFormat="1" ht="27.6" spans="1:10">
      <c r="A160" s="22" t="s">
        <v>185</v>
      </c>
      <c r="B160" s="23" t="s">
        <v>160</v>
      </c>
      <c r="C160" s="23">
        <v>500</v>
      </c>
      <c r="D160" s="30">
        <v>1000</v>
      </c>
      <c r="E160" s="25">
        <v>2000</v>
      </c>
      <c r="F160" s="25">
        <v>5000</v>
      </c>
      <c r="G160" s="25">
        <v>10000</v>
      </c>
      <c r="H160" s="25">
        <v>5000</v>
      </c>
      <c r="I160" s="25">
        <v>2500</v>
      </c>
      <c r="J160" s="38">
        <f t="shared" si="2"/>
        <v>24500</v>
      </c>
    </row>
    <row r="161" s="1" customFormat="1" spans="1:10 16350:16383">
      <c r="A161" s="31" t="s">
        <v>186</v>
      </c>
      <c r="B161" s="31"/>
      <c r="C161" s="31"/>
      <c r="D161" s="31"/>
      <c r="E161" s="31"/>
      <c r="F161" s="31"/>
      <c r="G161" s="31"/>
      <c r="H161" s="31"/>
      <c r="I161" s="32"/>
      <c r="J161" s="31"/>
      <c r="XDV161" s="4"/>
      <c r="XDW161" s="4"/>
      <c r="XDX161" s="4"/>
      <c r="XDY161" s="4"/>
      <c r="XDZ161" s="4"/>
      <c r="XEA161" s="4"/>
      <c r="XEB161" s="4"/>
      <c r="XEC161" s="4"/>
      <c r="XED161" s="4"/>
      <c r="XEE161" s="4"/>
      <c r="XEF161" s="4"/>
      <c r="XEG161" s="4"/>
      <c r="XEH161" s="4"/>
      <c r="XEI161" s="4"/>
      <c r="XEJ161" s="4"/>
      <c r="XEK161" s="4"/>
      <c r="XEL161" s="4"/>
      <c r="XEM161" s="4"/>
      <c r="XEN161" s="4"/>
      <c r="XEO161" s="4"/>
      <c r="XEP161" s="4"/>
      <c r="XEQ161" s="4"/>
      <c r="XER161" s="4"/>
      <c r="XES161" s="4"/>
      <c r="XET161" s="4"/>
      <c r="XEU161" s="4"/>
      <c r="XEV161" s="4"/>
      <c r="XEW161" s="4"/>
      <c r="XEX161" s="4"/>
      <c r="XEY161" s="4"/>
      <c r="XEZ161" s="4"/>
      <c r="XFA161" s="4"/>
      <c r="XFB161" s="4"/>
      <c r="XFC161" s="4"/>
    </row>
    <row r="162" s="1" customFormat="1" spans="1:10 16350:16383">
      <c r="A162" s="19" t="s">
        <v>187</v>
      </c>
      <c r="B162" s="19"/>
      <c r="C162" s="19"/>
      <c r="D162" s="19"/>
      <c r="E162" s="19"/>
      <c r="F162" s="19"/>
      <c r="G162" s="19"/>
      <c r="H162" s="19"/>
      <c r="I162" s="33"/>
      <c r="J162" s="19"/>
      <c r="XDV162" s="4"/>
      <c r="XDW162" s="4"/>
      <c r="XDX162" s="4"/>
      <c r="XDY162" s="4"/>
      <c r="XDZ162" s="4"/>
      <c r="XEA162" s="4"/>
      <c r="XEB162" s="4"/>
      <c r="XEC162" s="4"/>
      <c r="XED162" s="4"/>
      <c r="XEE162" s="4"/>
      <c r="XEF162" s="4"/>
      <c r="XEG162" s="4"/>
      <c r="XEH162" s="4"/>
      <c r="XEI162" s="4"/>
      <c r="XEJ162" s="4"/>
      <c r="XEK162" s="4"/>
      <c r="XEL162" s="4"/>
      <c r="XEM162" s="4"/>
      <c r="XEN162" s="4"/>
      <c r="XEO162" s="4"/>
      <c r="XEP162" s="4"/>
      <c r="XEQ162" s="4"/>
      <c r="XER162" s="4"/>
      <c r="XES162" s="4"/>
      <c r="XET162" s="4"/>
      <c r="XEU162" s="4"/>
      <c r="XEV162" s="4"/>
      <c r="XEW162" s="4"/>
      <c r="XEX162" s="4"/>
      <c r="XEY162" s="4"/>
      <c r="XEZ162" s="4"/>
      <c r="XFA162" s="4"/>
      <c r="XFB162" s="4"/>
      <c r="XFC162" s="4"/>
    </row>
    <row r="163" s="1" customFormat="1" ht="27.6" spans="1:10 16350:16383">
      <c r="A163" s="35" t="s">
        <v>188</v>
      </c>
      <c r="B163" s="36" t="s">
        <v>189</v>
      </c>
      <c r="C163" s="23">
        <v>3000</v>
      </c>
      <c r="D163" s="30">
        <v>3000</v>
      </c>
      <c r="E163" s="25">
        <v>12000</v>
      </c>
      <c r="F163" s="25">
        <v>5000</v>
      </c>
      <c r="G163" s="25">
        <v>10000</v>
      </c>
      <c r="H163" s="25">
        <v>5000</v>
      </c>
      <c r="I163" s="25">
        <v>7500</v>
      </c>
      <c r="J163" s="38">
        <f t="shared" si="2"/>
        <v>39500</v>
      </c>
    </row>
    <row r="164" s="1" customFormat="1" ht="27.6" spans="1:10 16350:16383">
      <c r="A164" s="35" t="s">
        <v>190</v>
      </c>
      <c r="B164" s="36" t="s">
        <v>189</v>
      </c>
      <c r="C164" s="23">
        <v>2000</v>
      </c>
      <c r="D164" s="30">
        <v>2000</v>
      </c>
      <c r="E164" s="25">
        <v>8000</v>
      </c>
      <c r="F164" s="25">
        <v>5000</v>
      </c>
      <c r="G164" s="25">
        <v>10000</v>
      </c>
      <c r="H164" s="25">
        <v>5000</v>
      </c>
      <c r="I164" s="25">
        <v>5000</v>
      </c>
      <c r="J164" s="38">
        <f t="shared" si="2"/>
        <v>33000</v>
      </c>
    </row>
    <row r="165" s="1" customFormat="1" ht="27.6" spans="1:10 16350:16383">
      <c r="A165" s="35" t="s">
        <v>191</v>
      </c>
      <c r="B165" s="36" t="s">
        <v>189</v>
      </c>
      <c r="C165" s="23">
        <v>1000</v>
      </c>
      <c r="D165" s="30">
        <v>1500</v>
      </c>
      <c r="E165" s="25">
        <v>4000</v>
      </c>
      <c r="F165" s="25">
        <v>5000</v>
      </c>
      <c r="G165" s="25">
        <v>10000</v>
      </c>
      <c r="H165" s="25">
        <v>5000</v>
      </c>
      <c r="I165" s="25">
        <v>3750</v>
      </c>
      <c r="J165" s="38">
        <f t="shared" si="2"/>
        <v>27750</v>
      </c>
    </row>
    <row r="166" s="1" customFormat="1" ht="27.6" spans="1:10 16350:16383">
      <c r="A166" s="35" t="s">
        <v>192</v>
      </c>
      <c r="B166" s="36" t="s">
        <v>189</v>
      </c>
      <c r="C166" s="23">
        <v>500</v>
      </c>
      <c r="D166" s="30">
        <v>3000</v>
      </c>
      <c r="E166" s="25">
        <v>2000</v>
      </c>
      <c r="F166" s="25">
        <v>5000</v>
      </c>
      <c r="G166" s="25">
        <v>10000</v>
      </c>
      <c r="H166" s="25">
        <v>5000</v>
      </c>
      <c r="I166" s="25">
        <v>7500</v>
      </c>
      <c r="J166" s="38">
        <f t="shared" si="2"/>
        <v>29500</v>
      </c>
    </row>
    <row r="167" s="1" customFormat="1" spans="1:10 16350:16383">
      <c r="A167" s="35" t="s">
        <v>193</v>
      </c>
      <c r="B167" s="36" t="s">
        <v>194</v>
      </c>
      <c r="C167" s="23">
        <v>3000</v>
      </c>
      <c r="D167" s="30">
        <v>2000</v>
      </c>
      <c r="E167" s="25">
        <v>12000</v>
      </c>
      <c r="F167" s="25">
        <v>5000</v>
      </c>
      <c r="G167" s="25">
        <v>10000</v>
      </c>
      <c r="H167" s="25">
        <v>5000</v>
      </c>
      <c r="I167" s="25">
        <v>5000</v>
      </c>
      <c r="J167" s="38">
        <f t="shared" si="2"/>
        <v>37000</v>
      </c>
    </row>
    <row r="168" s="1" customFormat="1" spans="1:10 16350:16383">
      <c r="A168" s="35" t="s">
        <v>195</v>
      </c>
      <c r="B168" s="36" t="s">
        <v>194</v>
      </c>
      <c r="C168" s="23">
        <v>2000</v>
      </c>
      <c r="D168" s="30">
        <v>1500</v>
      </c>
      <c r="E168" s="25">
        <v>8000</v>
      </c>
      <c r="F168" s="25">
        <v>5000</v>
      </c>
      <c r="G168" s="25">
        <v>10000</v>
      </c>
      <c r="H168" s="25">
        <v>5000</v>
      </c>
      <c r="I168" s="25">
        <v>3750</v>
      </c>
      <c r="J168" s="38">
        <f t="shared" si="2"/>
        <v>31750</v>
      </c>
    </row>
    <row r="169" s="1" customFormat="1" spans="1:10 16350:16383">
      <c r="A169" s="35" t="s">
        <v>196</v>
      </c>
      <c r="B169" s="36" t="s">
        <v>194</v>
      </c>
      <c r="C169" s="23">
        <v>1000</v>
      </c>
      <c r="D169" s="30">
        <v>1000</v>
      </c>
      <c r="E169" s="25">
        <v>4000</v>
      </c>
      <c r="F169" s="25">
        <v>5000</v>
      </c>
      <c r="G169" s="25">
        <v>10000</v>
      </c>
      <c r="H169" s="25">
        <v>5000</v>
      </c>
      <c r="I169" s="25">
        <v>2500</v>
      </c>
      <c r="J169" s="38">
        <f t="shared" si="2"/>
        <v>26500</v>
      </c>
    </row>
    <row r="170" s="1" customFormat="1" spans="1:10 16350:16383">
      <c r="A170" s="35" t="s">
        <v>197</v>
      </c>
      <c r="B170" s="36" t="s">
        <v>194</v>
      </c>
      <c r="C170" s="23">
        <v>3000</v>
      </c>
      <c r="D170" s="30">
        <v>3000</v>
      </c>
      <c r="E170" s="25">
        <v>12000</v>
      </c>
      <c r="F170" s="25">
        <v>5000</v>
      </c>
      <c r="G170" s="25">
        <v>10000</v>
      </c>
      <c r="H170" s="25">
        <v>5000</v>
      </c>
      <c r="I170" s="25">
        <v>7500</v>
      </c>
      <c r="J170" s="38">
        <f t="shared" si="2"/>
        <v>39500</v>
      </c>
    </row>
    <row r="171" s="1" customFormat="1" spans="1:10 16350:16383">
      <c r="A171" s="35" t="s">
        <v>198</v>
      </c>
      <c r="B171" s="36" t="s">
        <v>194</v>
      </c>
      <c r="C171" s="23">
        <v>2000</v>
      </c>
      <c r="D171" s="30">
        <v>2000</v>
      </c>
      <c r="E171" s="25">
        <v>8000</v>
      </c>
      <c r="F171" s="25">
        <v>5000</v>
      </c>
      <c r="G171" s="25">
        <v>10000</v>
      </c>
      <c r="H171" s="25">
        <v>5000</v>
      </c>
      <c r="I171" s="25">
        <v>5000</v>
      </c>
      <c r="J171" s="38">
        <f t="shared" si="2"/>
        <v>33000</v>
      </c>
    </row>
    <row r="172" s="1" customFormat="1" spans="1:10 16350:16383">
      <c r="A172" s="35" t="s">
        <v>199</v>
      </c>
      <c r="B172" s="36" t="s">
        <v>194</v>
      </c>
      <c r="C172" s="23">
        <v>1000</v>
      </c>
      <c r="D172" s="30">
        <v>1500</v>
      </c>
      <c r="E172" s="25">
        <v>4000</v>
      </c>
      <c r="F172" s="25">
        <v>5000</v>
      </c>
      <c r="G172" s="25">
        <v>10000</v>
      </c>
      <c r="H172" s="25">
        <v>5000</v>
      </c>
      <c r="I172" s="25">
        <v>3750</v>
      </c>
      <c r="J172" s="38">
        <f t="shared" si="2"/>
        <v>27750</v>
      </c>
    </row>
    <row r="173" s="1" customFormat="1" spans="1:10 16350:16383">
      <c r="A173" s="35" t="s">
        <v>200</v>
      </c>
      <c r="B173" s="36" t="s">
        <v>194</v>
      </c>
      <c r="C173" s="23">
        <v>3000</v>
      </c>
      <c r="D173" s="30">
        <v>3000</v>
      </c>
      <c r="E173" s="25">
        <v>12000</v>
      </c>
      <c r="F173" s="25">
        <v>5000</v>
      </c>
      <c r="G173" s="25">
        <v>10000</v>
      </c>
      <c r="H173" s="25">
        <v>5000</v>
      </c>
      <c r="I173" s="25">
        <v>7500</v>
      </c>
      <c r="J173" s="38">
        <f t="shared" si="2"/>
        <v>39500</v>
      </c>
    </row>
    <row r="174" s="1" customFormat="1" spans="1:10 16350:16383">
      <c r="A174" s="35" t="s">
        <v>201</v>
      </c>
      <c r="B174" s="36" t="s">
        <v>194</v>
      </c>
      <c r="C174" s="23">
        <v>2000</v>
      </c>
      <c r="D174" s="30">
        <v>2000</v>
      </c>
      <c r="E174" s="25">
        <v>8000</v>
      </c>
      <c r="F174" s="25">
        <v>5000</v>
      </c>
      <c r="G174" s="25">
        <v>10000</v>
      </c>
      <c r="H174" s="25">
        <v>5000</v>
      </c>
      <c r="I174" s="25">
        <v>5000</v>
      </c>
      <c r="J174" s="38">
        <f t="shared" si="2"/>
        <v>33000</v>
      </c>
    </row>
    <row r="175" s="1" customFormat="1" spans="1:10 16350:16383">
      <c r="A175" s="35" t="s">
        <v>202</v>
      </c>
      <c r="B175" s="36" t="s">
        <v>194</v>
      </c>
      <c r="C175" s="23">
        <v>1000</v>
      </c>
      <c r="D175" s="30">
        <v>1000</v>
      </c>
      <c r="E175" s="25">
        <v>4000</v>
      </c>
      <c r="F175" s="25">
        <v>5000</v>
      </c>
      <c r="G175" s="25">
        <v>10000</v>
      </c>
      <c r="H175" s="25">
        <v>5000</v>
      </c>
      <c r="I175" s="25">
        <v>2500</v>
      </c>
      <c r="J175" s="38">
        <f t="shared" si="2"/>
        <v>26500</v>
      </c>
    </row>
    <row r="176" s="1" customFormat="1" spans="1:10 16350:16383">
      <c r="A176" s="35" t="s">
        <v>203</v>
      </c>
      <c r="B176" s="36" t="s">
        <v>204</v>
      </c>
      <c r="C176" s="23">
        <v>5000</v>
      </c>
      <c r="D176" s="30">
        <v>3000</v>
      </c>
      <c r="E176" s="25">
        <v>20000</v>
      </c>
      <c r="F176" s="25">
        <v>5000</v>
      </c>
      <c r="G176" s="25">
        <v>10000</v>
      </c>
      <c r="H176" s="25">
        <v>5000</v>
      </c>
      <c r="I176" s="25">
        <v>7500</v>
      </c>
      <c r="J176" s="38">
        <f t="shared" si="2"/>
        <v>47500</v>
      </c>
    </row>
    <row r="177" s="1" customFormat="1" spans="1:10">
      <c r="A177" s="35" t="s">
        <v>205</v>
      </c>
      <c r="B177" s="36" t="s">
        <v>204</v>
      </c>
      <c r="C177" s="23">
        <v>4000</v>
      </c>
      <c r="D177" s="30">
        <v>2000</v>
      </c>
      <c r="E177" s="25">
        <v>16000</v>
      </c>
      <c r="F177" s="25">
        <v>5000</v>
      </c>
      <c r="G177" s="25">
        <v>10000</v>
      </c>
      <c r="H177" s="25">
        <v>5000</v>
      </c>
      <c r="I177" s="25">
        <v>5000</v>
      </c>
      <c r="J177" s="38">
        <f t="shared" si="2"/>
        <v>41000</v>
      </c>
    </row>
    <row r="178" s="1" customFormat="1" spans="1:10">
      <c r="A178" s="35" t="s">
        <v>206</v>
      </c>
      <c r="B178" s="36" t="s">
        <v>204</v>
      </c>
      <c r="C178" s="23">
        <v>3000</v>
      </c>
      <c r="D178" s="30">
        <v>2000</v>
      </c>
      <c r="E178" s="25">
        <v>12000</v>
      </c>
      <c r="F178" s="25">
        <v>5000</v>
      </c>
      <c r="G178" s="25">
        <v>10000</v>
      </c>
      <c r="H178" s="25">
        <v>5000</v>
      </c>
      <c r="I178" s="25">
        <v>5000</v>
      </c>
      <c r="J178" s="38">
        <f t="shared" si="2"/>
        <v>37000</v>
      </c>
    </row>
    <row r="179" s="1" customFormat="1" spans="1:10">
      <c r="A179" s="35" t="s">
        <v>207</v>
      </c>
      <c r="B179" s="36" t="s">
        <v>204</v>
      </c>
      <c r="C179" s="23">
        <v>2000</v>
      </c>
      <c r="D179" s="30">
        <v>2000</v>
      </c>
      <c r="E179" s="25">
        <v>8000</v>
      </c>
      <c r="F179" s="25">
        <v>5000</v>
      </c>
      <c r="G179" s="25">
        <v>10000</v>
      </c>
      <c r="H179" s="25">
        <v>5000</v>
      </c>
      <c r="I179" s="25">
        <v>5000</v>
      </c>
      <c r="J179" s="38">
        <f t="shared" si="2"/>
        <v>33000</v>
      </c>
    </row>
    <row r="180" s="1" customFormat="1" spans="1:10">
      <c r="A180" s="35" t="s">
        <v>208</v>
      </c>
      <c r="B180" s="36" t="s">
        <v>204</v>
      </c>
      <c r="C180" s="23">
        <v>1000</v>
      </c>
      <c r="D180" s="30">
        <v>1000</v>
      </c>
      <c r="E180" s="25">
        <v>4000</v>
      </c>
      <c r="F180" s="25">
        <v>5000</v>
      </c>
      <c r="G180" s="25">
        <v>10000</v>
      </c>
      <c r="H180" s="25">
        <v>5000</v>
      </c>
      <c r="I180" s="25">
        <v>2500</v>
      </c>
      <c r="J180" s="38">
        <f t="shared" si="2"/>
        <v>26500</v>
      </c>
    </row>
    <row r="181" s="1" customFormat="1" ht="27.6" spans="1:10">
      <c r="A181" s="35" t="s">
        <v>209</v>
      </c>
      <c r="B181" s="36" t="s">
        <v>204</v>
      </c>
      <c r="C181" s="23">
        <v>4000</v>
      </c>
      <c r="D181" s="30">
        <v>3000</v>
      </c>
      <c r="E181" s="25">
        <v>16000</v>
      </c>
      <c r="F181" s="25">
        <v>5000</v>
      </c>
      <c r="G181" s="25">
        <v>10000</v>
      </c>
      <c r="H181" s="25">
        <v>5000</v>
      </c>
      <c r="I181" s="25">
        <v>7500</v>
      </c>
      <c r="J181" s="38">
        <f t="shared" si="2"/>
        <v>43500</v>
      </c>
    </row>
    <row r="182" s="1" customFormat="1" ht="27.6" spans="1:10">
      <c r="A182" s="35" t="s">
        <v>210</v>
      </c>
      <c r="B182" s="36" t="s">
        <v>204</v>
      </c>
      <c r="C182" s="23">
        <v>3000</v>
      </c>
      <c r="D182" s="30">
        <v>2000</v>
      </c>
      <c r="E182" s="25">
        <v>12000</v>
      </c>
      <c r="F182" s="25">
        <v>5000</v>
      </c>
      <c r="G182" s="25">
        <v>10000</v>
      </c>
      <c r="H182" s="25">
        <v>5000</v>
      </c>
      <c r="I182" s="25">
        <v>5000</v>
      </c>
      <c r="J182" s="38">
        <f t="shared" si="2"/>
        <v>37000</v>
      </c>
    </row>
    <row r="183" s="1" customFormat="1" ht="27.6" spans="1:10">
      <c r="A183" s="35" t="s">
        <v>211</v>
      </c>
      <c r="B183" s="36" t="s">
        <v>204</v>
      </c>
      <c r="C183" s="23">
        <v>2000</v>
      </c>
      <c r="D183" s="30">
        <v>1500</v>
      </c>
      <c r="E183" s="25">
        <v>8000</v>
      </c>
      <c r="F183" s="25">
        <v>5000</v>
      </c>
      <c r="G183" s="25">
        <v>10000</v>
      </c>
      <c r="H183" s="25">
        <v>5000</v>
      </c>
      <c r="I183" s="25">
        <v>3750</v>
      </c>
      <c r="J183" s="38">
        <f t="shared" si="2"/>
        <v>31750</v>
      </c>
    </row>
    <row r="184" s="1" customFormat="1" ht="27.6" spans="1:10">
      <c r="A184" s="35" t="s">
        <v>212</v>
      </c>
      <c r="B184" s="36" t="s">
        <v>204</v>
      </c>
      <c r="C184" s="23">
        <v>1000</v>
      </c>
      <c r="D184" s="30">
        <v>1000</v>
      </c>
      <c r="E184" s="25">
        <v>4000</v>
      </c>
      <c r="F184" s="25">
        <v>5000</v>
      </c>
      <c r="G184" s="25">
        <v>10000</v>
      </c>
      <c r="H184" s="25">
        <v>5000</v>
      </c>
      <c r="I184" s="25">
        <v>2500</v>
      </c>
      <c r="J184" s="38">
        <f t="shared" si="2"/>
        <v>26500</v>
      </c>
    </row>
    <row r="185" s="1" customFormat="1" spans="1:10">
      <c r="A185" s="35" t="s">
        <v>213</v>
      </c>
      <c r="B185" s="36" t="s">
        <v>160</v>
      </c>
      <c r="C185" s="23">
        <v>3000</v>
      </c>
      <c r="D185" s="30">
        <v>3000</v>
      </c>
      <c r="E185" s="25">
        <v>12000</v>
      </c>
      <c r="F185" s="25">
        <v>5000</v>
      </c>
      <c r="G185" s="25">
        <v>10000</v>
      </c>
      <c r="H185" s="25">
        <v>5000</v>
      </c>
      <c r="I185" s="25">
        <v>7500</v>
      </c>
      <c r="J185" s="38">
        <f t="shared" si="2"/>
        <v>39500</v>
      </c>
    </row>
    <row r="186" s="1" customFormat="1" spans="1:10">
      <c r="A186" s="35" t="s">
        <v>214</v>
      </c>
      <c r="B186" s="36" t="s">
        <v>160</v>
      </c>
      <c r="C186" s="23">
        <v>2000</v>
      </c>
      <c r="D186" s="30">
        <v>2000</v>
      </c>
      <c r="E186" s="25">
        <v>8000</v>
      </c>
      <c r="F186" s="25">
        <v>5000</v>
      </c>
      <c r="G186" s="25">
        <v>10000</v>
      </c>
      <c r="H186" s="25">
        <v>5000</v>
      </c>
      <c r="I186" s="25">
        <v>5000</v>
      </c>
      <c r="J186" s="38">
        <f t="shared" si="2"/>
        <v>33000</v>
      </c>
    </row>
    <row r="187" s="1" customFormat="1" spans="1:10">
      <c r="A187" s="35" t="s">
        <v>215</v>
      </c>
      <c r="B187" s="36" t="s">
        <v>160</v>
      </c>
      <c r="C187" s="23">
        <v>1000</v>
      </c>
      <c r="D187" s="30">
        <v>1500</v>
      </c>
      <c r="E187" s="25">
        <v>4000</v>
      </c>
      <c r="F187" s="25">
        <v>5000</v>
      </c>
      <c r="G187" s="25">
        <v>10000</v>
      </c>
      <c r="H187" s="25">
        <v>5000</v>
      </c>
      <c r="I187" s="25">
        <v>3750</v>
      </c>
      <c r="J187" s="38">
        <f t="shared" si="2"/>
        <v>27750</v>
      </c>
    </row>
    <row r="188" s="1" customFormat="1" spans="1:10">
      <c r="A188" s="35" t="s">
        <v>216</v>
      </c>
      <c r="B188" s="36" t="s">
        <v>217</v>
      </c>
      <c r="C188" s="23">
        <v>4000</v>
      </c>
      <c r="D188" s="30">
        <v>2000</v>
      </c>
      <c r="E188" s="25">
        <v>16000</v>
      </c>
      <c r="F188" s="25">
        <v>5000</v>
      </c>
      <c r="G188" s="25">
        <v>10000</v>
      </c>
      <c r="H188" s="25">
        <v>5000</v>
      </c>
      <c r="I188" s="25">
        <v>5000</v>
      </c>
      <c r="J188" s="38">
        <f t="shared" si="2"/>
        <v>41000</v>
      </c>
    </row>
    <row r="189" s="1" customFormat="1" spans="1:10">
      <c r="A189" s="35" t="s">
        <v>218</v>
      </c>
      <c r="B189" s="36" t="s">
        <v>217</v>
      </c>
      <c r="C189" s="23">
        <v>3000</v>
      </c>
      <c r="D189" s="30">
        <v>1500</v>
      </c>
      <c r="E189" s="25">
        <v>12000</v>
      </c>
      <c r="F189" s="25">
        <v>5000</v>
      </c>
      <c r="G189" s="25">
        <v>10000</v>
      </c>
      <c r="H189" s="25">
        <v>5000</v>
      </c>
      <c r="I189" s="25">
        <v>3750</v>
      </c>
      <c r="J189" s="38">
        <f t="shared" si="2"/>
        <v>35750</v>
      </c>
    </row>
    <row r="190" s="1" customFormat="1" spans="1:10">
      <c r="A190" s="35" t="s">
        <v>219</v>
      </c>
      <c r="B190" s="36" t="s">
        <v>217</v>
      </c>
      <c r="C190" s="23">
        <v>2000</v>
      </c>
      <c r="D190" s="30">
        <v>1000</v>
      </c>
      <c r="E190" s="25">
        <v>8000</v>
      </c>
      <c r="F190" s="25">
        <v>5000</v>
      </c>
      <c r="G190" s="25">
        <v>10000</v>
      </c>
      <c r="H190" s="25">
        <v>5000</v>
      </c>
      <c r="I190" s="25">
        <v>2500</v>
      </c>
      <c r="J190" s="38">
        <f t="shared" si="2"/>
        <v>30500</v>
      </c>
    </row>
    <row r="191" s="1" customFormat="1" spans="1:10">
      <c r="A191" s="35" t="s">
        <v>220</v>
      </c>
      <c r="B191" s="36" t="s">
        <v>217</v>
      </c>
      <c r="C191" s="23">
        <v>1000</v>
      </c>
      <c r="D191" s="30">
        <v>1000</v>
      </c>
      <c r="E191" s="25">
        <v>4000</v>
      </c>
      <c r="F191" s="25">
        <v>5000</v>
      </c>
      <c r="G191" s="25">
        <v>10000</v>
      </c>
      <c r="H191" s="25">
        <v>5000</v>
      </c>
      <c r="I191" s="25">
        <v>2500</v>
      </c>
      <c r="J191" s="38">
        <f t="shared" si="2"/>
        <v>26500</v>
      </c>
    </row>
    <row r="192" s="1" customFormat="1" spans="1:10">
      <c r="A192" s="35" t="s">
        <v>221</v>
      </c>
      <c r="B192" s="36" t="s">
        <v>204</v>
      </c>
      <c r="C192" s="23">
        <v>3000</v>
      </c>
      <c r="D192" s="30">
        <v>3000</v>
      </c>
      <c r="E192" s="25">
        <v>12000</v>
      </c>
      <c r="F192" s="25">
        <v>5000</v>
      </c>
      <c r="G192" s="25">
        <v>10000</v>
      </c>
      <c r="H192" s="25">
        <v>5000</v>
      </c>
      <c r="I192" s="25">
        <v>7500</v>
      </c>
      <c r="J192" s="38">
        <f t="shared" si="2"/>
        <v>39500</v>
      </c>
    </row>
    <row r="193" s="1" customFormat="1" spans="1:10 16350:16383">
      <c r="A193" s="35" t="s">
        <v>222</v>
      </c>
      <c r="B193" s="36" t="s">
        <v>204</v>
      </c>
      <c r="C193" s="23">
        <v>2000</v>
      </c>
      <c r="D193" s="30">
        <v>2000</v>
      </c>
      <c r="E193" s="25">
        <v>8000</v>
      </c>
      <c r="F193" s="25">
        <v>5000</v>
      </c>
      <c r="G193" s="25">
        <v>10000</v>
      </c>
      <c r="H193" s="25">
        <v>5000</v>
      </c>
      <c r="I193" s="25">
        <v>5000</v>
      </c>
      <c r="J193" s="38">
        <f t="shared" si="2"/>
        <v>33000</v>
      </c>
    </row>
    <row r="194" s="1" customFormat="1" spans="1:10 16350:16383">
      <c r="A194" s="35" t="s">
        <v>223</v>
      </c>
      <c r="B194" s="36" t="s">
        <v>204</v>
      </c>
      <c r="C194" s="23">
        <v>1000</v>
      </c>
      <c r="D194" s="30">
        <v>1500</v>
      </c>
      <c r="E194" s="25">
        <v>4000</v>
      </c>
      <c r="F194" s="25">
        <v>5000</v>
      </c>
      <c r="G194" s="25">
        <v>10000</v>
      </c>
      <c r="H194" s="25">
        <v>5000</v>
      </c>
      <c r="I194" s="25">
        <v>3750</v>
      </c>
      <c r="J194" s="38">
        <f t="shared" si="2"/>
        <v>27750</v>
      </c>
    </row>
    <row r="195" s="1" customFormat="1" spans="1:10 16350:16383">
      <c r="A195" s="35" t="s">
        <v>224</v>
      </c>
      <c r="B195" s="36" t="s">
        <v>204</v>
      </c>
      <c r="C195" s="23">
        <v>3000</v>
      </c>
      <c r="D195" s="30">
        <v>3000</v>
      </c>
      <c r="E195" s="25">
        <v>12000</v>
      </c>
      <c r="F195" s="25">
        <v>5000</v>
      </c>
      <c r="G195" s="25">
        <v>10000</v>
      </c>
      <c r="H195" s="25">
        <v>5000</v>
      </c>
      <c r="I195" s="25">
        <v>7500</v>
      </c>
      <c r="J195" s="38">
        <f t="shared" si="2"/>
        <v>39500</v>
      </c>
    </row>
    <row r="196" s="1" customFormat="1" spans="1:10 16350:16383">
      <c r="A196" s="35" t="s">
        <v>225</v>
      </c>
      <c r="B196" s="36" t="s">
        <v>204</v>
      </c>
      <c r="C196" s="23">
        <v>2000</v>
      </c>
      <c r="D196" s="30">
        <v>2000</v>
      </c>
      <c r="E196" s="25">
        <v>8000</v>
      </c>
      <c r="F196" s="25">
        <v>5000</v>
      </c>
      <c r="G196" s="25">
        <v>10000</v>
      </c>
      <c r="H196" s="25">
        <v>5000</v>
      </c>
      <c r="I196" s="25">
        <v>5000</v>
      </c>
      <c r="J196" s="38">
        <f t="shared" si="2"/>
        <v>33000</v>
      </c>
    </row>
    <row r="197" s="1" customFormat="1" spans="1:10 16350:16383">
      <c r="A197" s="35" t="s">
        <v>226</v>
      </c>
      <c r="B197" s="36" t="s">
        <v>204</v>
      </c>
      <c r="C197" s="23">
        <v>1000</v>
      </c>
      <c r="D197" s="30">
        <v>1500</v>
      </c>
      <c r="E197" s="25">
        <v>4000</v>
      </c>
      <c r="F197" s="25">
        <v>5000</v>
      </c>
      <c r="G197" s="25">
        <v>10000</v>
      </c>
      <c r="H197" s="25">
        <v>5000</v>
      </c>
      <c r="I197" s="25">
        <v>3750</v>
      </c>
      <c r="J197" s="38">
        <f t="shared" si="2"/>
        <v>27750</v>
      </c>
    </row>
    <row r="198" s="1" customFormat="1" spans="1:10 16350:16383">
      <c r="A198" s="35" t="s">
        <v>227</v>
      </c>
      <c r="B198" s="36" t="s">
        <v>160</v>
      </c>
      <c r="C198" s="23">
        <v>3000</v>
      </c>
      <c r="D198" s="30">
        <v>3000</v>
      </c>
      <c r="E198" s="25">
        <v>12000</v>
      </c>
      <c r="F198" s="25">
        <v>5000</v>
      </c>
      <c r="G198" s="25">
        <v>10000</v>
      </c>
      <c r="H198" s="25">
        <v>5000</v>
      </c>
      <c r="I198" s="25">
        <v>7500</v>
      </c>
      <c r="J198" s="38">
        <f t="shared" si="2"/>
        <v>39500</v>
      </c>
    </row>
    <row r="199" s="1" customFormat="1" spans="1:10 16350:16383">
      <c r="A199" s="35" t="s">
        <v>228</v>
      </c>
      <c r="B199" s="36" t="s">
        <v>160</v>
      </c>
      <c r="C199" s="23">
        <v>2000</v>
      </c>
      <c r="D199" s="30">
        <v>2000</v>
      </c>
      <c r="E199" s="25">
        <v>8000</v>
      </c>
      <c r="F199" s="25">
        <v>5000</v>
      </c>
      <c r="G199" s="25">
        <v>10000</v>
      </c>
      <c r="H199" s="25">
        <v>5000</v>
      </c>
      <c r="I199" s="25">
        <v>5000</v>
      </c>
      <c r="J199" s="38">
        <f t="shared" ref="J199:J266" si="3">SUM(E199:I199)</f>
        <v>33000</v>
      </c>
    </row>
    <row r="200" s="1" customFormat="1" spans="1:10 16350:16383">
      <c r="A200" s="35" t="s">
        <v>229</v>
      </c>
      <c r="B200" s="36" t="s">
        <v>160</v>
      </c>
      <c r="C200" s="23">
        <v>1000</v>
      </c>
      <c r="D200" s="30">
        <v>1500</v>
      </c>
      <c r="E200" s="25">
        <v>4000</v>
      </c>
      <c r="F200" s="25">
        <v>5000</v>
      </c>
      <c r="G200" s="25">
        <v>10000</v>
      </c>
      <c r="H200" s="25">
        <v>5000</v>
      </c>
      <c r="I200" s="25">
        <v>3750</v>
      </c>
      <c r="J200" s="38">
        <f t="shared" si="3"/>
        <v>27750</v>
      </c>
    </row>
    <row r="201" s="1" customFormat="1" spans="1:10 16350:16383">
      <c r="A201" s="37" t="s">
        <v>230</v>
      </c>
      <c r="B201" s="36" t="s">
        <v>160</v>
      </c>
      <c r="C201" s="23">
        <v>3000</v>
      </c>
      <c r="D201" s="30">
        <v>3000</v>
      </c>
      <c r="E201" s="25">
        <v>12000</v>
      </c>
      <c r="F201" s="25">
        <v>5000</v>
      </c>
      <c r="G201" s="25">
        <v>10000</v>
      </c>
      <c r="H201" s="25">
        <v>5000</v>
      </c>
      <c r="I201" s="25">
        <v>7500</v>
      </c>
      <c r="J201" s="38">
        <f t="shared" si="3"/>
        <v>39500</v>
      </c>
    </row>
    <row r="202" s="1" customFormat="1" spans="1:10 16350:16383">
      <c r="A202" s="37" t="s">
        <v>231</v>
      </c>
      <c r="B202" s="36" t="s">
        <v>160</v>
      </c>
      <c r="C202" s="23">
        <v>2000</v>
      </c>
      <c r="D202" s="30">
        <v>2000</v>
      </c>
      <c r="E202" s="25">
        <v>8000</v>
      </c>
      <c r="F202" s="25">
        <v>5000</v>
      </c>
      <c r="G202" s="25">
        <v>10000</v>
      </c>
      <c r="H202" s="25">
        <v>5000</v>
      </c>
      <c r="I202" s="25">
        <v>5000</v>
      </c>
      <c r="J202" s="38">
        <f t="shared" si="3"/>
        <v>33000</v>
      </c>
    </row>
    <row r="203" s="1" customFormat="1" spans="1:10 16350:16383">
      <c r="A203" s="37" t="s">
        <v>232</v>
      </c>
      <c r="B203" s="36" t="s">
        <v>160</v>
      </c>
      <c r="C203" s="23">
        <v>1000</v>
      </c>
      <c r="D203" s="30">
        <v>1500</v>
      </c>
      <c r="E203" s="25">
        <v>4000</v>
      </c>
      <c r="F203" s="25">
        <v>5000</v>
      </c>
      <c r="G203" s="25">
        <v>10000</v>
      </c>
      <c r="H203" s="25">
        <v>5000</v>
      </c>
      <c r="I203" s="25">
        <v>3750</v>
      </c>
      <c r="J203" s="38">
        <f t="shared" si="3"/>
        <v>27750</v>
      </c>
    </row>
    <row r="204" s="1" customFormat="1" spans="1:10 16350:16383">
      <c r="A204" s="31" t="s">
        <v>233</v>
      </c>
      <c r="B204" s="31"/>
      <c r="C204" s="31"/>
      <c r="D204" s="31"/>
      <c r="E204" s="31"/>
      <c r="F204" s="31"/>
      <c r="G204" s="31"/>
      <c r="H204" s="31"/>
      <c r="I204" s="32"/>
      <c r="J204" s="31"/>
      <c r="XDV204" s="4"/>
      <c r="XDW204" s="4"/>
      <c r="XDX204" s="4"/>
      <c r="XDY204" s="4"/>
      <c r="XDZ204" s="4"/>
      <c r="XEA204" s="4"/>
      <c r="XEB204" s="4"/>
      <c r="XEC204" s="4"/>
      <c r="XED204" s="4"/>
      <c r="XEE204" s="4"/>
      <c r="XEF204" s="4"/>
      <c r="XEG204" s="4"/>
      <c r="XEH204" s="4"/>
      <c r="XEI204" s="4"/>
      <c r="XEJ204" s="4"/>
      <c r="XEK204" s="4"/>
      <c r="XEL204" s="4"/>
      <c r="XEM204" s="4"/>
      <c r="XEN204" s="4"/>
      <c r="XEO204" s="4"/>
      <c r="XEP204" s="4"/>
      <c r="XEQ204" s="4"/>
      <c r="XER204" s="4"/>
      <c r="XES204" s="4"/>
      <c r="XET204" s="4"/>
      <c r="XEU204" s="4"/>
      <c r="XEV204" s="4"/>
      <c r="XEW204" s="4"/>
      <c r="XEX204" s="4"/>
      <c r="XEY204" s="4"/>
      <c r="XEZ204" s="4"/>
      <c r="XFA204" s="4"/>
      <c r="XFB204" s="4"/>
      <c r="XFC204" s="4"/>
    </row>
    <row r="205" s="1" customFormat="1" spans="1:10 16350:16383">
      <c r="A205" s="19" t="s">
        <v>234</v>
      </c>
      <c r="B205" s="19"/>
      <c r="C205" s="19"/>
      <c r="D205" s="19"/>
      <c r="E205" s="19"/>
      <c r="F205" s="19"/>
      <c r="G205" s="19"/>
      <c r="H205" s="19"/>
      <c r="I205" s="33"/>
      <c r="J205" s="19"/>
      <c r="XDV205" s="4"/>
      <c r="XDW205" s="4"/>
      <c r="XDX205" s="4"/>
      <c r="XDY205" s="4"/>
      <c r="XDZ205" s="4"/>
      <c r="XEA205" s="4"/>
      <c r="XEB205" s="4"/>
      <c r="XEC205" s="4"/>
      <c r="XED205" s="4"/>
      <c r="XEE205" s="4"/>
      <c r="XEF205" s="4"/>
      <c r="XEG205" s="4"/>
      <c r="XEH205" s="4"/>
      <c r="XEI205" s="4"/>
      <c r="XEJ205" s="4"/>
      <c r="XEK205" s="4"/>
      <c r="XEL205" s="4"/>
      <c r="XEM205" s="4"/>
      <c r="XEN205" s="4"/>
      <c r="XEO205" s="4"/>
      <c r="XEP205" s="4"/>
      <c r="XEQ205" s="4"/>
      <c r="XER205" s="4"/>
      <c r="XES205" s="4"/>
      <c r="XET205" s="4"/>
      <c r="XEU205" s="4"/>
      <c r="XEV205" s="4"/>
      <c r="XEW205" s="4"/>
      <c r="XEX205" s="4"/>
      <c r="XEY205" s="4"/>
      <c r="XEZ205" s="4"/>
      <c r="XFA205" s="4"/>
      <c r="XFB205" s="4"/>
      <c r="XFC205" s="4"/>
    </row>
    <row r="206" s="1" customFormat="1" ht="27.6" spans="1:10 16350:16383">
      <c r="A206" s="35" t="s">
        <v>235</v>
      </c>
      <c r="B206" s="36" t="s">
        <v>160</v>
      </c>
      <c r="C206" s="23">
        <v>4000</v>
      </c>
      <c r="D206" s="30">
        <v>3000</v>
      </c>
      <c r="E206" s="25">
        <v>16000</v>
      </c>
      <c r="F206" s="25">
        <v>5000</v>
      </c>
      <c r="G206" s="25">
        <v>10000</v>
      </c>
      <c r="H206" s="25">
        <v>5000</v>
      </c>
      <c r="I206" s="25">
        <v>7500</v>
      </c>
      <c r="J206" s="38">
        <f t="shared" si="3"/>
        <v>43500</v>
      </c>
    </row>
    <row r="207" s="1" customFormat="1" ht="27.6" spans="1:10 16350:16383">
      <c r="A207" s="35" t="s">
        <v>236</v>
      </c>
      <c r="B207" s="36" t="s">
        <v>160</v>
      </c>
      <c r="C207" s="23">
        <v>3000</v>
      </c>
      <c r="D207" s="30">
        <v>2000</v>
      </c>
      <c r="E207" s="25">
        <v>12000</v>
      </c>
      <c r="F207" s="25">
        <v>5000</v>
      </c>
      <c r="G207" s="25">
        <v>10000</v>
      </c>
      <c r="H207" s="25">
        <v>5000</v>
      </c>
      <c r="I207" s="25">
        <v>5000</v>
      </c>
      <c r="J207" s="38">
        <f t="shared" si="3"/>
        <v>37000</v>
      </c>
    </row>
    <row r="208" s="1" customFormat="1" ht="27.6" spans="1:10 16350:16383">
      <c r="A208" s="35" t="s">
        <v>237</v>
      </c>
      <c r="B208" s="36" t="s">
        <v>160</v>
      </c>
      <c r="C208" s="23">
        <v>2000</v>
      </c>
      <c r="D208" s="30">
        <v>1500</v>
      </c>
      <c r="E208" s="25">
        <v>8000</v>
      </c>
      <c r="F208" s="25">
        <v>5000</v>
      </c>
      <c r="G208" s="25">
        <v>10000</v>
      </c>
      <c r="H208" s="25">
        <v>5000</v>
      </c>
      <c r="I208" s="25">
        <v>3750</v>
      </c>
      <c r="J208" s="38">
        <f t="shared" si="3"/>
        <v>31750</v>
      </c>
    </row>
    <row r="209" s="1" customFormat="1" ht="27.6" spans="1:10">
      <c r="A209" s="35" t="s">
        <v>238</v>
      </c>
      <c r="B209" s="36" t="s">
        <v>160</v>
      </c>
      <c r="C209" s="23">
        <v>1000</v>
      </c>
      <c r="D209" s="30">
        <v>1000</v>
      </c>
      <c r="E209" s="25">
        <v>4000</v>
      </c>
      <c r="F209" s="25">
        <v>5000</v>
      </c>
      <c r="G209" s="25">
        <v>10000</v>
      </c>
      <c r="H209" s="25">
        <v>5000</v>
      </c>
      <c r="I209" s="25">
        <v>2500</v>
      </c>
      <c r="J209" s="38">
        <f t="shared" si="3"/>
        <v>26500</v>
      </c>
    </row>
    <row r="210" s="1" customFormat="1" ht="27.6" spans="1:10">
      <c r="A210" s="35" t="s">
        <v>239</v>
      </c>
      <c r="B210" s="36" t="s">
        <v>160</v>
      </c>
      <c r="C210" s="23">
        <v>500</v>
      </c>
      <c r="D210" s="30">
        <v>500</v>
      </c>
      <c r="E210" s="25">
        <v>2000</v>
      </c>
      <c r="F210" s="25">
        <v>5000</v>
      </c>
      <c r="G210" s="25">
        <v>10000</v>
      </c>
      <c r="H210" s="25">
        <v>5000</v>
      </c>
      <c r="I210" s="25">
        <v>1250</v>
      </c>
      <c r="J210" s="38">
        <f t="shared" si="3"/>
        <v>23250</v>
      </c>
    </row>
    <row r="211" s="1" customFormat="1" ht="27.6" spans="1:10">
      <c r="A211" s="35" t="s">
        <v>240</v>
      </c>
      <c r="B211" s="36" t="s">
        <v>160</v>
      </c>
      <c r="C211" s="23">
        <v>3000</v>
      </c>
      <c r="D211" s="30">
        <v>3000</v>
      </c>
      <c r="E211" s="25">
        <v>12000</v>
      </c>
      <c r="F211" s="25">
        <v>5000</v>
      </c>
      <c r="G211" s="25">
        <v>10000</v>
      </c>
      <c r="H211" s="25">
        <v>5000</v>
      </c>
      <c r="I211" s="25">
        <v>7500</v>
      </c>
      <c r="J211" s="38">
        <f t="shared" si="3"/>
        <v>39500</v>
      </c>
    </row>
    <row r="212" s="1" customFormat="1" ht="27.6" spans="1:10">
      <c r="A212" s="35" t="s">
        <v>241</v>
      </c>
      <c r="B212" s="36" t="s">
        <v>160</v>
      </c>
      <c r="C212" s="23">
        <v>2000</v>
      </c>
      <c r="D212" s="30">
        <v>2000</v>
      </c>
      <c r="E212" s="25">
        <v>8000</v>
      </c>
      <c r="F212" s="25">
        <v>5000</v>
      </c>
      <c r="G212" s="25">
        <v>10000</v>
      </c>
      <c r="H212" s="25">
        <v>5000</v>
      </c>
      <c r="I212" s="25">
        <v>5000</v>
      </c>
      <c r="J212" s="38">
        <f t="shared" si="3"/>
        <v>33000</v>
      </c>
    </row>
    <row r="213" s="1" customFormat="1" ht="27.6" spans="1:10">
      <c r="A213" s="35" t="s">
        <v>242</v>
      </c>
      <c r="B213" s="36" t="s">
        <v>160</v>
      </c>
      <c r="C213" s="23">
        <v>1000</v>
      </c>
      <c r="D213" s="30">
        <v>1500</v>
      </c>
      <c r="E213" s="25">
        <v>4000</v>
      </c>
      <c r="F213" s="25">
        <v>5000</v>
      </c>
      <c r="G213" s="25">
        <v>10000</v>
      </c>
      <c r="H213" s="25">
        <v>5000</v>
      </c>
      <c r="I213" s="25">
        <v>3750</v>
      </c>
      <c r="J213" s="38">
        <f t="shared" si="3"/>
        <v>27750</v>
      </c>
    </row>
    <row r="214" s="1" customFormat="1" ht="27.6" spans="1:10">
      <c r="A214" s="35" t="s">
        <v>243</v>
      </c>
      <c r="B214" s="36" t="s">
        <v>160</v>
      </c>
      <c r="C214" s="23">
        <v>500</v>
      </c>
      <c r="D214" s="30">
        <v>500</v>
      </c>
      <c r="E214" s="25">
        <v>2000</v>
      </c>
      <c r="F214" s="25">
        <v>5000</v>
      </c>
      <c r="G214" s="25">
        <v>10000</v>
      </c>
      <c r="H214" s="25">
        <v>5000</v>
      </c>
      <c r="I214" s="25">
        <v>1250</v>
      </c>
      <c r="J214" s="38">
        <f t="shared" si="3"/>
        <v>23250</v>
      </c>
    </row>
    <row r="215" s="1" customFormat="1" spans="1:10">
      <c r="A215" s="35" t="s">
        <v>244</v>
      </c>
      <c r="B215" s="36" t="s">
        <v>245</v>
      </c>
      <c r="C215" s="23">
        <v>3000</v>
      </c>
      <c r="D215" s="30">
        <v>3000</v>
      </c>
      <c r="E215" s="25">
        <v>12000</v>
      </c>
      <c r="F215" s="25">
        <v>5000</v>
      </c>
      <c r="G215" s="25">
        <v>10000</v>
      </c>
      <c r="H215" s="25">
        <v>5000</v>
      </c>
      <c r="I215" s="25">
        <v>7500</v>
      </c>
      <c r="J215" s="38">
        <f t="shared" si="3"/>
        <v>39500</v>
      </c>
    </row>
    <row r="216" s="1" customFormat="1" spans="1:10">
      <c r="A216" s="35" t="s">
        <v>246</v>
      </c>
      <c r="B216" s="36" t="s">
        <v>245</v>
      </c>
      <c r="C216" s="23">
        <v>2000</v>
      </c>
      <c r="D216" s="30">
        <v>2000</v>
      </c>
      <c r="E216" s="25">
        <v>8000</v>
      </c>
      <c r="F216" s="25">
        <v>5000</v>
      </c>
      <c r="G216" s="25">
        <v>10000</v>
      </c>
      <c r="H216" s="25">
        <v>5000</v>
      </c>
      <c r="I216" s="25">
        <v>5000</v>
      </c>
      <c r="J216" s="38">
        <f t="shared" si="3"/>
        <v>33000</v>
      </c>
    </row>
    <row r="217" s="1" customFormat="1" spans="1:10">
      <c r="A217" s="35" t="s">
        <v>247</v>
      </c>
      <c r="B217" s="36" t="s">
        <v>245</v>
      </c>
      <c r="C217" s="23">
        <v>1000</v>
      </c>
      <c r="D217" s="30">
        <v>1500</v>
      </c>
      <c r="E217" s="25">
        <v>4000</v>
      </c>
      <c r="F217" s="25">
        <v>5000</v>
      </c>
      <c r="G217" s="25">
        <v>10000</v>
      </c>
      <c r="H217" s="25">
        <v>5000</v>
      </c>
      <c r="I217" s="25">
        <v>3750</v>
      </c>
      <c r="J217" s="38">
        <f t="shared" si="3"/>
        <v>27750</v>
      </c>
    </row>
    <row r="218" s="1" customFormat="1" spans="1:10">
      <c r="A218" s="35" t="s">
        <v>248</v>
      </c>
      <c r="B218" s="36" t="s">
        <v>249</v>
      </c>
      <c r="C218" s="36"/>
      <c r="D218" s="30">
        <v>500</v>
      </c>
      <c r="E218" s="25">
        <v>0</v>
      </c>
      <c r="F218" s="25">
        <v>5000</v>
      </c>
      <c r="G218" s="25">
        <v>10000</v>
      </c>
      <c r="H218" s="25">
        <v>5000</v>
      </c>
      <c r="I218" s="25">
        <v>1250</v>
      </c>
      <c r="J218" s="38">
        <f t="shared" si="3"/>
        <v>21250</v>
      </c>
    </row>
    <row r="219" s="1" customFormat="1" spans="1:10">
      <c r="A219" s="35" t="s">
        <v>250</v>
      </c>
      <c r="B219" s="36" t="s">
        <v>249</v>
      </c>
      <c r="C219" s="36"/>
      <c r="D219" s="30">
        <v>500</v>
      </c>
      <c r="E219" s="25">
        <v>0</v>
      </c>
      <c r="F219" s="25">
        <v>5000</v>
      </c>
      <c r="G219" s="25">
        <v>10000</v>
      </c>
      <c r="H219" s="25">
        <v>5000</v>
      </c>
      <c r="I219" s="25">
        <v>1250</v>
      </c>
      <c r="J219" s="38">
        <f t="shared" si="3"/>
        <v>21250</v>
      </c>
    </row>
    <row r="220" s="1" customFormat="1" spans="1:10">
      <c r="A220" s="35" t="s">
        <v>251</v>
      </c>
      <c r="B220" s="36" t="s">
        <v>249</v>
      </c>
      <c r="C220" s="36"/>
      <c r="D220" s="30">
        <v>500</v>
      </c>
      <c r="E220" s="25">
        <v>0</v>
      </c>
      <c r="F220" s="25">
        <v>5000</v>
      </c>
      <c r="G220" s="25">
        <v>10000</v>
      </c>
      <c r="H220" s="25">
        <v>5000</v>
      </c>
      <c r="I220" s="25">
        <v>1250</v>
      </c>
      <c r="J220" s="38">
        <f t="shared" si="3"/>
        <v>21250</v>
      </c>
    </row>
    <row r="221" s="1" customFormat="1" spans="1:10">
      <c r="A221" s="35" t="s">
        <v>252</v>
      </c>
      <c r="B221" s="36" t="s">
        <v>253</v>
      </c>
      <c r="C221" s="23">
        <v>3000</v>
      </c>
      <c r="D221" s="30">
        <v>3000</v>
      </c>
      <c r="E221" s="25">
        <v>12000</v>
      </c>
      <c r="F221" s="25">
        <v>5000</v>
      </c>
      <c r="G221" s="25">
        <v>10000</v>
      </c>
      <c r="H221" s="25">
        <v>5000</v>
      </c>
      <c r="I221" s="25">
        <v>7500</v>
      </c>
      <c r="J221" s="38">
        <f t="shared" si="3"/>
        <v>39500</v>
      </c>
    </row>
    <row r="222" s="1" customFormat="1" spans="1:10">
      <c r="A222" s="35" t="s">
        <v>254</v>
      </c>
      <c r="B222" s="36" t="s">
        <v>253</v>
      </c>
      <c r="C222" s="23">
        <v>2000</v>
      </c>
      <c r="D222" s="30">
        <v>2000</v>
      </c>
      <c r="E222" s="25">
        <v>8000</v>
      </c>
      <c r="F222" s="25">
        <v>5000</v>
      </c>
      <c r="G222" s="25">
        <v>10000</v>
      </c>
      <c r="H222" s="25">
        <v>5000</v>
      </c>
      <c r="I222" s="25">
        <v>5000</v>
      </c>
      <c r="J222" s="38">
        <f t="shared" si="3"/>
        <v>33000</v>
      </c>
    </row>
    <row r="223" s="1" customFormat="1" spans="1:10">
      <c r="A223" s="35" t="s">
        <v>255</v>
      </c>
      <c r="B223" s="36" t="s">
        <v>253</v>
      </c>
      <c r="C223" s="23">
        <v>1000</v>
      </c>
      <c r="D223" s="30">
        <v>1500</v>
      </c>
      <c r="E223" s="25">
        <v>4000</v>
      </c>
      <c r="F223" s="25">
        <v>5000</v>
      </c>
      <c r="G223" s="25">
        <v>10000</v>
      </c>
      <c r="H223" s="25">
        <v>5000</v>
      </c>
      <c r="I223" s="25">
        <v>3750</v>
      </c>
      <c r="J223" s="38">
        <f t="shared" si="3"/>
        <v>27750</v>
      </c>
    </row>
    <row r="224" s="1" customFormat="1" spans="1:10">
      <c r="A224" s="35" t="s">
        <v>256</v>
      </c>
      <c r="B224" s="36" t="s">
        <v>257</v>
      </c>
      <c r="C224" s="23">
        <v>3000</v>
      </c>
      <c r="D224" s="30">
        <v>3000</v>
      </c>
      <c r="E224" s="25">
        <v>12000</v>
      </c>
      <c r="F224" s="25">
        <v>5000</v>
      </c>
      <c r="G224" s="25">
        <v>10000</v>
      </c>
      <c r="H224" s="25">
        <v>5000</v>
      </c>
      <c r="I224" s="25">
        <v>7500</v>
      </c>
      <c r="J224" s="38">
        <f t="shared" si="3"/>
        <v>39500</v>
      </c>
    </row>
    <row r="225" s="1" customFormat="1" spans="1:10 16350:16383">
      <c r="A225" s="35" t="s">
        <v>258</v>
      </c>
      <c r="B225" s="36" t="s">
        <v>257</v>
      </c>
      <c r="C225" s="23">
        <v>2000</v>
      </c>
      <c r="D225" s="30">
        <v>2000</v>
      </c>
      <c r="E225" s="25">
        <v>8000</v>
      </c>
      <c r="F225" s="25">
        <v>5000</v>
      </c>
      <c r="G225" s="25">
        <v>10000</v>
      </c>
      <c r="H225" s="25">
        <v>5000</v>
      </c>
      <c r="I225" s="25">
        <v>5000</v>
      </c>
      <c r="J225" s="38">
        <f t="shared" si="3"/>
        <v>33000</v>
      </c>
    </row>
    <row r="226" s="1" customFormat="1" spans="1:10 16350:16383">
      <c r="A226" s="35" t="s">
        <v>259</v>
      </c>
      <c r="B226" s="36" t="s">
        <v>257</v>
      </c>
      <c r="C226" s="23">
        <v>1000</v>
      </c>
      <c r="D226" s="30">
        <v>1000</v>
      </c>
      <c r="E226" s="25">
        <v>4000</v>
      </c>
      <c r="F226" s="25">
        <v>5000</v>
      </c>
      <c r="G226" s="25">
        <v>10000</v>
      </c>
      <c r="H226" s="25">
        <v>5000</v>
      </c>
      <c r="I226" s="25">
        <v>2500</v>
      </c>
      <c r="J226" s="38">
        <f t="shared" si="3"/>
        <v>26500</v>
      </c>
    </row>
    <row r="227" s="1" customFormat="1" spans="1:10 16350:16383">
      <c r="A227" s="31" t="s">
        <v>260</v>
      </c>
      <c r="B227" s="31"/>
      <c r="C227" s="31"/>
      <c r="D227" s="31"/>
      <c r="E227" s="31"/>
      <c r="F227" s="31"/>
      <c r="G227" s="31"/>
      <c r="H227" s="31"/>
      <c r="I227" s="32"/>
      <c r="J227" s="31"/>
      <c r="XDV227" s="4"/>
      <c r="XDW227" s="4"/>
      <c r="XDX227" s="4"/>
      <c r="XDY227" s="4"/>
      <c r="XDZ227" s="4"/>
      <c r="XEA227" s="4"/>
      <c r="XEB227" s="4"/>
      <c r="XEC227" s="4"/>
      <c r="XED227" s="4"/>
      <c r="XEE227" s="4"/>
      <c r="XEF227" s="4"/>
      <c r="XEG227" s="4"/>
      <c r="XEH227" s="4"/>
      <c r="XEI227" s="4"/>
      <c r="XEJ227" s="4"/>
      <c r="XEK227" s="4"/>
      <c r="XEL227" s="4"/>
      <c r="XEM227" s="4"/>
      <c r="XEN227" s="4"/>
      <c r="XEO227" s="4"/>
      <c r="XEP227" s="4"/>
      <c r="XEQ227" s="4"/>
      <c r="XER227" s="4"/>
      <c r="XES227" s="4"/>
      <c r="XET227" s="4"/>
      <c r="XEU227" s="4"/>
      <c r="XEV227" s="4"/>
      <c r="XEW227" s="4"/>
      <c r="XEX227" s="4"/>
      <c r="XEY227" s="4"/>
      <c r="XEZ227" s="4"/>
      <c r="XFA227" s="4"/>
      <c r="XFB227" s="4"/>
      <c r="XFC227" s="4"/>
    </row>
    <row r="228" s="1" customFormat="1" spans="1:10 16350:16383">
      <c r="A228" s="19" t="s">
        <v>261</v>
      </c>
      <c r="B228" s="19"/>
      <c r="C228" s="19"/>
      <c r="D228" s="19"/>
      <c r="E228" s="19"/>
      <c r="F228" s="19"/>
      <c r="G228" s="19"/>
      <c r="H228" s="19"/>
      <c r="I228" s="33"/>
      <c r="J228" s="19"/>
      <c r="XDV228" s="4"/>
      <c r="XDW228" s="4"/>
      <c r="XDX228" s="4"/>
      <c r="XDY228" s="4"/>
      <c r="XDZ228" s="4"/>
      <c r="XEA228" s="4"/>
      <c r="XEB228" s="4"/>
      <c r="XEC228" s="4"/>
      <c r="XED228" s="4"/>
      <c r="XEE228" s="4"/>
      <c r="XEF228" s="4"/>
      <c r="XEG228" s="4"/>
      <c r="XEH228" s="4"/>
      <c r="XEI228" s="4"/>
      <c r="XEJ228" s="4"/>
      <c r="XEK228" s="4"/>
      <c r="XEL228" s="4"/>
      <c r="XEM228" s="4"/>
      <c r="XEN228" s="4"/>
      <c r="XEO228" s="4"/>
      <c r="XEP228" s="4"/>
      <c r="XEQ228" s="4"/>
      <c r="XER228" s="4"/>
      <c r="XES228" s="4"/>
      <c r="XET228" s="4"/>
      <c r="XEU228" s="4"/>
      <c r="XEV228" s="4"/>
      <c r="XEW228" s="4"/>
      <c r="XEX228" s="4"/>
      <c r="XEY228" s="4"/>
      <c r="XEZ228" s="4"/>
      <c r="XFA228" s="4"/>
      <c r="XFB228" s="4"/>
      <c r="XFC228" s="4"/>
    </row>
    <row r="229" s="1" customFormat="1" ht="27.6" spans="1:10 16350:16383">
      <c r="A229" s="35" t="s">
        <v>262</v>
      </c>
      <c r="B229" s="36" t="s">
        <v>263</v>
      </c>
      <c r="C229" s="23">
        <v>3000</v>
      </c>
      <c r="D229" s="30">
        <v>3000</v>
      </c>
      <c r="E229" s="25">
        <v>12000</v>
      </c>
      <c r="F229" s="25">
        <v>5000</v>
      </c>
      <c r="G229" s="25">
        <v>10000</v>
      </c>
      <c r="H229" s="25">
        <v>5000</v>
      </c>
      <c r="I229" s="25">
        <v>7500</v>
      </c>
      <c r="J229" s="38">
        <f t="shared" si="3"/>
        <v>39500</v>
      </c>
    </row>
    <row r="230" s="1" customFormat="1" ht="27.6" spans="1:10 16350:16383">
      <c r="A230" s="35" t="s">
        <v>264</v>
      </c>
      <c r="B230" s="36" t="s">
        <v>263</v>
      </c>
      <c r="C230" s="23">
        <v>2000</v>
      </c>
      <c r="D230" s="30">
        <v>2000</v>
      </c>
      <c r="E230" s="25">
        <v>8000</v>
      </c>
      <c r="F230" s="25">
        <v>5000</v>
      </c>
      <c r="G230" s="25">
        <v>10000</v>
      </c>
      <c r="H230" s="25">
        <v>5000</v>
      </c>
      <c r="I230" s="25">
        <v>5000</v>
      </c>
      <c r="J230" s="38">
        <f t="shared" si="3"/>
        <v>33000</v>
      </c>
    </row>
    <row r="231" s="1" customFormat="1" ht="27.6" spans="1:10 16350:16383">
      <c r="A231" s="35" t="s">
        <v>265</v>
      </c>
      <c r="B231" s="36" t="s">
        <v>263</v>
      </c>
      <c r="C231" s="23">
        <v>1000</v>
      </c>
      <c r="D231" s="30">
        <v>1500</v>
      </c>
      <c r="E231" s="25">
        <v>4000</v>
      </c>
      <c r="F231" s="25">
        <v>5000</v>
      </c>
      <c r="G231" s="25">
        <v>10000</v>
      </c>
      <c r="H231" s="25">
        <v>5000</v>
      </c>
      <c r="I231" s="25">
        <v>3750</v>
      </c>
      <c r="J231" s="38">
        <f t="shared" si="3"/>
        <v>27750</v>
      </c>
    </row>
    <row r="232" s="1" customFormat="1" ht="27.6" spans="1:10 16350:16383">
      <c r="A232" s="35" t="s">
        <v>266</v>
      </c>
      <c r="B232" s="36" t="s">
        <v>267</v>
      </c>
      <c r="C232" s="23">
        <v>3000</v>
      </c>
      <c r="D232" s="30">
        <v>2000</v>
      </c>
      <c r="E232" s="25">
        <v>12000</v>
      </c>
      <c r="F232" s="25">
        <v>5000</v>
      </c>
      <c r="G232" s="25">
        <v>10000</v>
      </c>
      <c r="H232" s="25">
        <v>5000</v>
      </c>
      <c r="I232" s="25">
        <v>5000</v>
      </c>
      <c r="J232" s="38">
        <f t="shared" si="3"/>
        <v>37000</v>
      </c>
    </row>
    <row r="233" s="1" customFormat="1" ht="27.6" spans="1:10 16350:16383">
      <c r="A233" s="35" t="s">
        <v>268</v>
      </c>
      <c r="B233" s="36" t="s">
        <v>267</v>
      </c>
      <c r="C233" s="23">
        <v>2000</v>
      </c>
      <c r="D233" s="30">
        <v>1500</v>
      </c>
      <c r="E233" s="25">
        <v>8000</v>
      </c>
      <c r="F233" s="25">
        <v>5000</v>
      </c>
      <c r="G233" s="25">
        <v>10000</v>
      </c>
      <c r="H233" s="25">
        <v>5000</v>
      </c>
      <c r="I233" s="25">
        <v>3750</v>
      </c>
      <c r="J233" s="38">
        <f t="shared" si="3"/>
        <v>31750</v>
      </c>
    </row>
    <row r="234" s="1" customFormat="1" ht="27.6" spans="1:10 16350:16383">
      <c r="A234" s="35" t="s">
        <v>269</v>
      </c>
      <c r="B234" s="36" t="s">
        <v>267</v>
      </c>
      <c r="C234" s="23">
        <v>1000</v>
      </c>
      <c r="D234" s="30">
        <v>1000</v>
      </c>
      <c r="E234" s="25">
        <v>4000</v>
      </c>
      <c r="F234" s="25">
        <v>5000</v>
      </c>
      <c r="G234" s="25">
        <v>10000</v>
      </c>
      <c r="H234" s="25">
        <v>5000</v>
      </c>
      <c r="I234" s="25">
        <v>2500</v>
      </c>
      <c r="J234" s="38">
        <f t="shared" si="3"/>
        <v>26500</v>
      </c>
    </row>
    <row r="235" s="1" customFormat="1" ht="27.6" spans="1:10 16350:16383">
      <c r="A235" s="35" t="s">
        <v>270</v>
      </c>
      <c r="B235" s="36" t="s">
        <v>267</v>
      </c>
      <c r="C235" s="23">
        <v>500</v>
      </c>
      <c r="D235" s="30">
        <v>500</v>
      </c>
      <c r="E235" s="25">
        <v>2000</v>
      </c>
      <c r="F235" s="25">
        <v>5000</v>
      </c>
      <c r="G235" s="25">
        <v>10000</v>
      </c>
      <c r="H235" s="25">
        <v>5000</v>
      </c>
      <c r="I235" s="25">
        <v>1250</v>
      </c>
      <c r="J235" s="38">
        <f t="shared" si="3"/>
        <v>23250</v>
      </c>
    </row>
    <row r="236" s="1" customFormat="1" spans="1:10 16350:16383">
      <c r="A236" s="35" t="s">
        <v>271</v>
      </c>
      <c r="B236" s="36" t="s">
        <v>267</v>
      </c>
      <c r="C236" s="23">
        <v>3000</v>
      </c>
      <c r="D236" s="30">
        <v>3000</v>
      </c>
      <c r="E236" s="25">
        <v>12000</v>
      </c>
      <c r="F236" s="25">
        <v>5000</v>
      </c>
      <c r="G236" s="25">
        <v>10000</v>
      </c>
      <c r="H236" s="25">
        <v>5000</v>
      </c>
      <c r="I236" s="25">
        <v>7500</v>
      </c>
      <c r="J236" s="38">
        <f t="shared" si="3"/>
        <v>39500</v>
      </c>
    </row>
    <row r="237" s="1" customFormat="1" spans="1:10 16350:16383">
      <c r="A237" s="35" t="s">
        <v>272</v>
      </c>
      <c r="B237" s="36" t="s">
        <v>267</v>
      </c>
      <c r="C237" s="23">
        <v>2000</v>
      </c>
      <c r="D237" s="30">
        <v>2000</v>
      </c>
      <c r="E237" s="25">
        <v>8000</v>
      </c>
      <c r="F237" s="25">
        <v>5000</v>
      </c>
      <c r="G237" s="25">
        <v>10000</v>
      </c>
      <c r="H237" s="25">
        <v>5000</v>
      </c>
      <c r="I237" s="25">
        <v>5000</v>
      </c>
      <c r="J237" s="38">
        <f t="shared" si="3"/>
        <v>33000</v>
      </c>
    </row>
    <row r="238" s="1" customFormat="1" spans="1:10 16350:16383">
      <c r="A238" s="35" t="s">
        <v>273</v>
      </c>
      <c r="B238" s="36" t="s">
        <v>267</v>
      </c>
      <c r="C238" s="23">
        <v>1000</v>
      </c>
      <c r="D238" s="30">
        <v>1500</v>
      </c>
      <c r="E238" s="25">
        <v>4000</v>
      </c>
      <c r="F238" s="25">
        <v>5000</v>
      </c>
      <c r="G238" s="25">
        <v>10000</v>
      </c>
      <c r="H238" s="25">
        <v>5000</v>
      </c>
      <c r="I238" s="25">
        <v>3750</v>
      </c>
      <c r="J238" s="38">
        <f t="shared" si="3"/>
        <v>27750</v>
      </c>
    </row>
    <row r="239" s="1" customFormat="1" spans="1:10 16350:16383">
      <c r="A239" s="35" t="s">
        <v>274</v>
      </c>
      <c r="B239" s="36" t="s">
        <v>275</v>
      </c>
      <c r="C239" s="23">
        <v>3000</v>
      </c>
      <c r="D239" s="30">
        <v>2000</v>
      </c>
      <c r="E239" s="25">
        <v>12000</v>
      </c>
      <c r="F239" s="25">
        <v>5000</v>
      </c>
      <c r="G239" s="25">
        <v>10000</v>
      </c>
      <c r="H239" s="25">
        <v>5000</v>
      </c>
      <c r="I239" s="25">
        <v>5000</v>
      </c>
      <c r="J239" s="38">
        <f t="shared" si="3"/>
        <v>37000</v>
      </c>
    </row>
    <row r="240" s="1" customFormat="1" spans="1:10 16350:16383">
      <c r="A240" s="35" t="s">
        <v>276</v>
      </c>
      <c r="B240" s="36" t="s">
        <v>275</v>
      </c>
      <c r="C240" s="23">
        <v>2000</v>
      </c>
      <c r="D240" s="30">
        <v>1500</v>
      </c>
      <c r="E240" s="25">
        <v>8000</v>
      </c>
      <c r="F240" s="25">
        <v>5000</v>
      </c>
      <c r="G240" s="25">
        <v>10000</v>
      </c>
      <c r="H240" s="25">
        <v>5000</v>
      </c>
      <c r="I240" s="25">
        <v>3750</v>
      </c>
      <c r="J240" s="38">
        <f t="shared" si="3"/>
        <v>31750</v>
      </c>
    </row>
    <row r="241" s="1" customFormat="1" spans="1:10">
      <c r="A241" s="35" t="s">
        <v>277</v>
      </c>
      <c r="B241" s="36" t="s">
        <v>275</v>
      </c>
      <c r="C241" s="23">
        <v>1000</v>
      </c>
      <c r="D241" s="30">
        <v>1000</v>
      </c>
      <c r="E241" s="25">
        <v>4000</v>
      </c>
      <c r="F241" s="25">
        <v>5000</v>
      </c>
      <c r="G241" s="25">
        <v>10000</v>
      </c>
      <c r="H241" s="25">
        <v>5000</v>
      </c>
      <c r="I241" s="25">
        <v>2500</v>
      </c>
      <c r="J241" s="38">
        <f t="shared" si="3"/>
        <v>26500</v>
      </c>
    </row>
    <row r="242" s="1" customFormat="1" spans="1:10">
      <c r="A242" s="35" t="s">
        <v>278</v>
      </c>
      <c r="B242" s="36"/>
      <c r="C242" s="23">
        <v>500</v>
      </c>
      <c r="D242" s="30">
        <v>500</v>
      </c>
      <c r="E242" s="25">
        <v>2000</v>
      </c>
      <c r="F242" s="25">
        <v>5000</v>
      </c>
      <c r="G242" s="25">
        <v>10000</v>
      </c>
      <c r="H242" s="25">
        <v>5000</v>
      </c>
      <c r="I242" s="25">
        <v>1250</v>
      </c>
      <c r="J242" s="38">
        <f t="shared" si="3"/>
        <v>23250</v>
      </c>
    </row>
    <row r="243" s="1" customFormat="1" spans="1:10">
      <c r="A243" s="35" t="s">
        <v>279</v>
      </c>
      <c r="B243" s="36"/>
      <c r="C243" s="23">
        <v>500</v>
      </c>
      <c r="D243" s="30">
        <v>500</v>
      </c>
      <c r="E243" s="25">
        <v>2000</v>
      </c>
      <c r="F243" s="25">
        <v>5000</v>
      </c>
      <c r="G243" s="25">
        <v>10000</v>
      </c>
      <c r="H243" s="25">
        <v>5000</v>
      </c>
      <c r="I243" s="25">
        <v>1250</v>
      </c>
      <c r="J243" s="38">
        <f t="shared" si="3"/>
        <v>23250</v>
      </c>
    </row>
    <row r="244" s="1" customFormat="1" spans="1:10">
      <c r="A244" s="35" t="s">
        <v>280</v>
      </c>
      <c r="B244" s="36"/>
      <c r="C244" s="23">
        <v>1000</v>
      </c>
      <c r="D244" s="30">
        <v>500</v>
      </c>
      <c r="E244" s="25">
        <v>4000</v>
      </c>
      <c r="F244" s="25">
        <v>5000</v>
      </c>
      <c r="G244" s="25">
        <v>10000</v>
      </c>
      <c r="H244" s="25">
        <v>5000</v>
      </c>
      <c r="I244" s="25">
        <v>1250</v>
      </c>
      <c r="J244" s="38">
        <f t="shared" si="3"/>
        <v>25250</v>
      </c>
    </row>
    <row r="245" s="1" customFormat="1" spans="1:10">
      <c r="A245" s="35" t="s">
        <v>281</v>
      </c>
      <c r="B245" s="36"/>
      <c r="C245" s="23">
        <v>500</v>
      </c>
      <c r="D245" s="30">
        <v>500</v>
      </c>
      <c r="E245" s="25">
        <v>2000</v>
      </c>
      <c r="F245" s="25">
        <v>5000</v>
      </c>
      <c r="G245" s="25">
        <v>10000</v>
      </c>
      <c r="H245" s="25">
        <v>5000</v>
      </c>
      <c r="I245" s="25">
        <v>1250</v>
      </c>
      <c r="J245" s="38">
        <f t="shared" si="3"/>
        <v>23250</v>
      </c>
    </row>
    <row r="246" s="1" customFormat="1" spans="1:10">
      <c r="A246" s="35" t="s">
        <v>282</v>
      </c>
      <c r="B246" s="36"/>
      <c r="C246" s="23">
        <v>3000</v>
      </c>
      <c r="D246" s="30">
        <v>500</v>
      </c>
      <c r="E246" s="25">
        <v>12000</v>
      </c>
      <c r="F246" s="25">
        <v>5000</v>
      </c>
      <c r="G246" s="25">
        <v>10000</v>
      </c>
      <c r="H246" s="25">
        <v>5000</v>
      </c>
      <c r="I246" s="25">
        <v>1250</v>
      </c>
      <c r="J246" s="38">
        <f t="shared" si="3"/>
        <v>33250</v>
      </c>
    </row>
    <row r="247" s="1" customFormat="1" spans="1:10">
      <c r="A247" s="35" t="s">
        <v>283</v>
      </c>
      <c r="B247" s="36"/>
      <c r="C247" s="36"/>
      <c r="D247" s="30">
        <v>500</v>
      </c>
      <c r="E247" s="25">
        <v>0</v>
      </c>
      <c r="F247" s="25">
        <v>5000</v>
      </c>
      <c r="G247" s="25">
        <v>10000</v>
      </c>
      <c r="H247" s="25">
        <v>5000</v>
      </c>
      <c r="I247" s="25">
        <v>1250</v>
      </c>
      <c r="J247" s="38">
        <f t="shared" si="3"/>
        <v>21250</v>
      </c>
    </row>
    <row r="248" s="1" customFormat="1" spans="1:10">
      <c r="A248" s="35" t="s">
        <v>284</v>
      </c>
      <c r="B248" s="36" t="s">
        <v>285</v>
      </c>
      <c r="C248" s="23">
        <v>3000</v>
      </c>
      <c r="D248" s="30">
        <v>3000</v>
      </c>
      <c r="E248" s="25">
        <v>12000</v>
      </c>
      <c r="F248" s="25">
        <v>5000</v>
      </c>
      <c r="G248" s="25">
        <v>10000</v>
      </c>
      <c r="H248" s="25">
        <v>5000</v>
      </c>
      <c r="I248" s="25">
        <v>7500</v>
      </c>
      <c r="J248" s="38">
        <f t="shared" si="3"/>
        <v>39500</v>
      </c>
    </row>
    <row r="249" s="1" customFormat="1" spans="1:10">
      <c r="A249" s="35" t="s">
        <v>286</v>
      </c>
      <c r="B249" s="36" t="s">
        <v>285</v>
      </c>
      <c r="C249" s="23">
        <v>2000</v>
      </c>
      <c r="D249" s="30">
        <v>3000</v>
      </c>
      <c r="E249" s="25">
        <v>8000</v>
      </c>
      <c r="F249" s="25">
        <v>5000</v>
      </c>
      <c r="G249" s="25">
        <v>10000</v>
      </c>
      <c r="H249" s="25">
        <v>5000</v>
      </c>
      <c r="I249" s="25">
        <v>7500</v>
      </c>
      <c r="J249" s="38">
        <f t="shared" si="3"/>
        <v>35500</v>
      </c>
    </row>
    <row r="250" s="1" customFormat="1" spans="1:10">
      <c r="A250" s="35" t="s">
        <v>287</v>
      </c>
      <c r="B250" s="36" t="s">
        <v>285</v>
      </c>
      <c r="C250" s="23">
        <v>1000</v>
      </c>
      <c r="D250" s="30">
        <v>1000</v>
      </c>
      <c r="E250" s="25">
        <v>4000</v>
      </c>
      <c r="F250" s="25">
        <v>5000</v>
      </c>
      <c r="G250" s="25">
        <v>10000</v>
      </c>
      <c r="H250" s="25">
        <v>5000</v>
      </c>
      <c r="I250" s="25">
        <v>2500</v>
      </c>
      <c r="J250" s="38">
        <f t="shared" si="3"/>
        <v>26500</v>
      </c>
    </row>
    <row r="251" s="1" customFormat="1" spans="1:10">
      <c r="A251" s="35" t="s">
        <v>288</v>
      </c>
      <c r="B251" s="36"/>
      <c r="C251" s="23">
        <v>500</v>
      </c>
      <c r="D251" s="30">
        <v>3000</v>
      </c>
      <c r="E251" s="25">
        <v>2000</v>
      </c>
      <c r="F251" s="25">
        <v>5000</v>
      </c>
      <c r="G251" s="25">
        <v>10000</v>
      </c>
      <c r="H251" s="25">
        <v>5000</v>
      </c>
      <c r="I251" s="25">
        <v>7500</v>
      </c>
      <c r="J251" s="38">
        <f t="shared" si="3"/>
        <v>29500</v>
      </c>
    </row>
    <row r="252" s="1" customFormat="1" spans="1:10">
      <c r="A252" s="35" t="s">
        <v>289</v>
      </c>
      <c r="B252" s="36"/>
      <c r="C252" s="36"/>
      <c r="D252" s="30">
        <v>500</v>
      </c>
      <c r="E252" s="25">
        <v>0</v>
      </c>
      <c r="F252" s="25">
        <v>5000</v>
      </c>
      <c r="G252" s="25">
        <v>10000</v>
      </c>
      <c r="H252" s="25">
        <v>5000</v>
      </c>
      <c r="I252" s="25">
        <v>1250</v>
      </c>
      <c r="J252" s="38">
        <f t="shared" si="3"/>
        <v>21250</v>
      </c>
    </row>
    <row r="253" s="1" customFormat="1" spans="1:10">
      <c r="A253" s="35" t="s">
        <v>290</v>
      </c>
      <c r="B253" s="36" t="s">
        <v>291</v>
      </c>
      <c r="C253" s="36"/>
      <c r="D253" s="30">
        <v>3000</v>
      </c>
      <c r="E253" s="25">
        <v>0</v>
      </c>
      <c r="F253" s="25">
        <v>5000</v>
      </c>
      <c r="G253" s="25">
        <v>10000</v>
      </c>
      <c r="H253" s="25">
        <v>5000</v>
      </c>
      <c r="I253" s="25">
        <v>7500</v>
      </c>
      <c r="J253" s="38">
        <f t="shared" si="3"/>
        <v>27500</v>
      </c>
    </row>
    <row r="254" s="1" customFormat="1" spans="1:10">
      <c r="A254" s="35" t="s">
        <v>292</v>
      </c>
      <c r="B254" s="36" t="s">
        <v>291</v>
      </c>
      <c r="C254" s="36"/>
      <c r="D254" s="30">
        <v>2000</v>
      </c>
      <c r="E254" s="25">
        <v>0</v>
      </c>
      <c r="F254" s="25">
        <v>5000</v>
      </c>
      <c r="G254" s="25">
        <v>10000</v>
      </c>
      <c r="H254" s="25">
        <v>5000</v>
      </c>
      <c r="I254" s="25">
        <v>5000</v>
      </c>
      <c r="J254" s="38">
        <f t="shared" si="3"/>
        <v>25000</v>
      </c>
    </row>
    <row r="255" s="1" customFormat="1" spans="1:10">
      <c r="A255" s="35" t="s">
        <v>293</v>
      </c>
      <c r="B255" s="36" t="s">
        <v>291</v>
      </c>
      <c r="C255" s="36"/>
      <c r="D255" s="30">
        <v>1000</v>
      </c>
      <c r="E255" s="25">
        <v>0</v>
      </c>
      <c r="F255" s="25">
        <v>5000</v>
      </c>
      <c r="G255" s="25">
        <v>10000</v>
      </c>
      <c r="H255" s="25">
        <v>5000</v>
      </c>
      <c r="I255" s="25">
        <v>2500</v>
      </c>
      <c r="J255" s="38">
        <f t="shared" si="3"/>
        <v>22500</v>
      </c>
    </row>
    <row r="256" s="1" customFormat="1" spans="1:10">
      <c r="A256" s="35" t="s">
        <v>294</v>
      </c>
      <c r="B256" s="36" t="s">
        <v>291</v>
      </c>
      <c r="C256" s="36"/>
      <c r="D256" s="30">
        <v>500</v>
      </c>
      <c r="E256" s="25">
        <v>0</v>
      </c>
      <c r="F256" s="25">
        <v>5000</v>
      </c>
      <c r="G256" s="25">
        <v>10000</v>
      </c>
      <c r="H256" s="25">
        <v>5000</v>
      </c>
      <c r="I256" s="25">
        <v>1250</v>
      </c>
      <c r="J256" s="38">
        <f t="shared" si="3"/>
        <v>21250</v>
      </c>
    </row>
    <row r="257" s="1" customFormat="1" ht="27.6" spans="1:10">
      <c r="A257" s="35" t="s">
        <v>295</v>
      </c>
      <c r="B257" s="36" t="s">
        <v>204</v>
      </c>
      <c r="C257" s="23">
        <v>3000</v>
      </c>
      <c r="D257" s="30">
        <v>3000</v>
      </c>
      <c r="E257" s="25">
        <v>12000</v>
      </c>
      <c r="F257" s="25">
        <v>5000</v>
      </c>
      <c r="G257" s="25">
        <v>10000</v>
      </c>
      <c r="H257" s="25">
        <v>5000</v>
      </c>
      <c r="I257" s="25">
        <v>7500</v>
      </c>
      <c r="J257" s="38">
        <f t="shared" si="3"/>
        <v>39500</v>
      </c>
    </row>
    <row r="258" s="1" customFormat="1" ht="27.6" spans="1:10">
      <c r="A258" s="35" t="s">
        <v>296</v>
      </c>
      <c r="B258" s="36" t="s">
        <v>204</v>
      </c>
      <c r="C258" s="23">
        <v>2000</v>
      </c>
      <c r="D258" s="30">
        <v>2000</v>
      </c>
      <c r="E258" s="25">
        <v>8000</v>
      </c>
      <c r="F258" s="25">
        <v>5000</v>
      </c>
      <c r="G258" s="25">
        <v>10000</v>
      </c>
      <c r="H258" s="25">
        <v>5000</v>
      </c>
      <c r="I258" s="25">
        <v>5000</v>
      </c>
      <c r="J258" s="38">
        <f t="shared" si="3"/>
        <v>33000</v>
      </c>
    </row>
    <row r="259" s="1" customFormat="1" ht="27.6" spans="1:10">
      <c r="A259" s="35" t="s">
        <v>297</v>
      </c>
      <c r="B259" s="36" t="s">
        <v>204</v>
      </c>
      <c r="C259" s="23">
        <v>1000</v>
      </c>
      <c r="D259" s="30">
        <v>1500</v>
      </c>
      <c r="E259" s="25">
        <v>4000</v>
      </c>
      <c r="F259" s="25">
        <v>5000</v>
      </c>
      <c r="G259" s="25">
        <v>10000</v>
      </c>
      <c r="H259" s="25">
        <v>5000</v>
      </c>
      <c r="I259" s="25">
        <v>3750</v>
      </c>
      <c r="J259" s="38">
        <f t="shared" si="3"/>
        <v>27750</v>
      </c>
    </row>
    <row r="260" s="1" customFormat="1" ht="27.6" spans="1:10">
      <c r="A260" s="35" t="s">
        <v>298</v>
      </c>
      <c r="B260" s="36" t="s">
        <v>253</v>
      </c>
      <c r="C260" s="23">
        <v>3000</v>
      </c>
      <c r="D260" s="30">
        <v>3000</v>
      </c>
      <c r="E260" s="25">
        <v>12000</v>
      </c>
      <c r="F260" s="25">
        <v>5000</v>
      </c>
      <c r="G260" s="25">
        <v>10000</v>
      </c>
      <c r="H260" s="25">
        <v>5000</v>
      </c>
      <c r="I260" s="25">
        <v>7500</v>
      </c>
      <c r="J260" s="38">
        <f t="shared" si="3"/>
        <v>39500</v>
      </c>
    </row>
    <row r="261" s="1" customFormat="1" ht="27.6" spans="1:10">
      <c r="A261" s="35" t="s">
        <v>299</v>
      </c>
      <c r="B261" s="36" t="s">
        <v>253</v>
      </c>
      <c r="C261" s="23">
        <v>2000</v>
      </c>
      <c r="D261" s="30">
        <v>2000</v>
      </c>
      <c r="E261" s="25">
        <v>8000</v>
      </c>
      <c r="F261" s="25">
        <v>5000</v>
      </c>
      <c r="G261" s="25">
        <v>10000</v>
      </c>
      <c r="H261" s="25">
        <v>5000</v>
      </c>
      <c r="I261" s="25">
        <v>5000</v>
      </c>
      <c r="J261" s="38">
        <f t="shared" si="3"/>
        <v>33000</v>
      </c>
    </row>
    <row r="262" s="1" customFormat="1" ht="27.6" spans="1:10">
      <c r="A262" s="35" t="s">
        <v>300</v>
      </c>
      <c r="B262" s="36" t="s">
        <v>253</v>
      </c>
      <c r="C262" s="23">
        <v>1000</v>
      </c>
      <c r="D262" s="30">
        <v>1500</v>
      </c>
      <c r="E262" s="25">
        <v>4000</v>
      </c>
      <c r="F262" s="25">
        <v>5000</v>
      </c>
      <c r="G262" s="25">
        <v>10000</v>
      </c>
      <c r="H262" s="25">
        <v>5000</v>
      </c>
      <c r="I262" s="25">
        <v>3750</v>
      </c>
      <c r="J262" s="38">
        <f t="shared" si="3"/>
        <v>27750</v>
      </c>
    </row>
    <row r="263" s="1" customFormat="1" spans="1:10">
      <c r="A263" s="35" t="s">
        <v>301</v>
      </c>
      <c r="B263" s="36" t="s">
        <v>302</v>
      </c>
      <c r="C263" s="23">
        <v>3000</v>
      </c>
      <c r="D263" s="30">
        <v>3000</v>
      </c>
      <c r="E263" s="25">
        <v>12000</v>
      </c>
      <c r="F263" s="25">
        <v>5000</v>
      </c>
      <c r="G263" s="25">
        <v>10000</v>
      </c>
      <c r="H263" s="25">
        <v>5000</v>
      </c>
      <c r="I263" s="25">
        <v>7500</v>
      </c>
      <c r="J263" s="38">
        <f t="shared" si="3"/>
        <v>39500</v>
      </c>
    </row>
    <row r="264" s="1" customFormat="1" spans="1:10">
      <c r="A264" s="35" t="s">
        <v>303</v>
      </c>
      <c r="B264" s="36" t="s">
        <v>302</v>
      </c>
      <c r="C264" s="23">
        <v>2000</v>
      </c>
      <c r="D264" s="30">
        <v>2000</v>
      </c>
      <c r="E264" s="25">
        <v>8000</v>
      </c>
      <c r="F264" s="25">
        <v>5000</v>
      </c>
      <c r="G264" s="25">
        <v>10000</v>
      </c>
      <c r="H264" s="25">
        <v>5000</v>
      </c>
      <c r="I264" s="25">
        <v>5000</v>
      </c>
      <c r="J264" s="38">
        <f t="shared" si="3"/>
        <v>33000</v>
      </c>
    </row>
    <row r="265" s="1" customFormat="1" spans="1:10">
      <c r="A265" s="35" t="s">
        <v>304</v>
      </c>
      <c r="B265" s="36" t="s">
        <v>302</v>
      </c>
      <c r="C265" s="23">
        <v>1000</v>
      </c>
      <c r="D265" s="30">
        <v>1500</v>
      </c>
      <c r="E265" s="25">
        <v>4000</v>
      </c>
      <c r="F265" s="25">
        <v>5000</v>
      </c>
      <c r="G265" s="25">
        <v>10000</v>
      </c>
      <c r="H265" s="25">
        <v>5000</v>
      </c>
      <c r="I265" s="25">
        <v>3750</v>
      </c>
      <c r="J265" s="38">
        <f t="shared" si="3"/>
        <v>27750</v>
      </c>
    </row>
    <row r="266" s="1" customFormat="1" spans="1:10">
      <c r="A266" s="35" t="s">
        <v>305</v>
      </c>
      <c r="B266" s="36" t="s">
        <v>253</v>
      </c>
      <c r="C266" s="23">
        <v>3000</v>
      </c>
      <c r="D266" s="30">
        <v>3000</v>
      </c>
      <c r="E266" s="25">
        <v>12000</v>
      </c>
      <c r="F266" s="25">
        <v>5000</v>
      </c>
      <c r="G266" s="25">
        <v>10000</v>
      </c>
      <c r="H266" s="25">
        <v>5000</v>
      </c>
      <c r="I266" s="25">
        <v>7500</v>
      </c>
      <c r="J266" s="38">
        <f t="shared" si="3"/>
        <v>39500</v>
      </c>
    </row>
    <row r="267" s="1" customFormat="1" spans="1:10">
      <c r="A267" s="35" t="s">
        <v>306</v>
      </c>
      <c r="B267" s="36" t="s">
        <v>253</v>
      </c>
      <c r="C267" s="23">
        <v>2000</v>
      </c>
      <c r="D267" s="30">
        <v>2000</v>
      </c>
      <c r="E267" s="25">
        <v>8000</v>
      </c>
      <c r="F267" s="25">
        <v>5000</v>
      </c>
      <c r="G267" s="25">
        <v>10000</v>
      </c>
      <c r="H267" s="25">
        <v>5000</v>
      </c>
      <c r="I267" s="25">
        <v>5000</v>
      </c>
      <c r="J267" s="38">
        <f t="shared" ref="J267:J279" si="4">SUM(E267:I267)</f>
        <v>33000</v>
      </c>
    </row>
    <row r="268" s="1" customFormat="1" spans="1:10">
      <c r="A268" s="35" t="s">
        <v>307</v>
      </c>
      <c r="B268" s="36" t="s">
        <v>253</v>
      </c>
      <c r="C268" s="23">
        <v>1000</v>
      </c>
      <c r="D268" s="30">
        <v>1500</v>
      </c>
      <c r="E268" s="25">
        <v>4000</v>
      </c>
      <c r="F268" s="25">
        <v>5000</v>
      </c>
      <c r="G268" s="25">
        <v>10000</v>
      </c>
      <c r="H268" s="25">
        <v>5000</v>
      </c>
      <c r="I268" s="25">
        <v>3750</v>
      </c>
      <c r="J268" s="38">
        <f t="shared" si="4"/>
        <v>27750</v>
      </c>
    </row>
    <row r="269" s="1" customFormat="1" spans="1:10">
      <c r="A269" s="35" t="s">
        <v>308</v>
      </c>
      <c r="B269" s="36" t="s">
        <v>309</v>
      </c>
      <c r="C269" s="23">
        <v>3000</v>
      </c>
      <c r="D269" s="30">
        <v>3000</v>
      </c>
      <c r="E269" s="25">
        <v>12000</v>
      </c>
      <c r="F269" s="25">
        <v>5000</v>
      </c>
      <c r="G269" s="25">
        <v>10000</v>
      </c>
      <c r="H269" s="25">
        <v>5000</v>
      </c>
      <c r="I269" s="25">
        <v>7500</v>
      </c>
      <c r="J269" s="38">
        <f t="shared" si="4"/>
        <v>39500</v>
      </c>
    </row>
    <row r="270" s="1" customFormat="1" spans="1:10">
      <c r="A270" s="35" t="s">
        <v>310</v>
      </c>
      <c r="B270" s="36" t="s">
        <v>309</v>
      </c>
      <c r="C270" s="23">
        <v>2000</v>
      </c>
      <c r="D270" s="30">
        <v>2000</v>
      </c>
      <c r="E270" s="25">
        <v>8000</v>
      </c>
      <c r="F270" s="25">
        <v>5000</v>
      </c>
      <c r="G270" s="25">
        <v>10000</v>
      </c>
      <c r="H270" s="25">
        <v>5000</v>
      </c>
      <c r="I270" s="25">
        <v>5000</v>
      </c>
      <c r="J270" s="38">
        <f t="shared" si="4"/>
        <v>33000</v>
      </c>
    </row>
    <row r="271" s="1" customFormat="1" spans="1:10">
      <c r="A271" s="35" t="s">
        <v>311</v>
      </c>
      <c r="B271" s="36" t="s">
        <v>309</v>
      </c>
      <c r="C271" s="23">
        <v>1000</v>
      </c>
      <c r="D271" s="30">
        <v>1500</v>
      </c>
      <c r="E271" s="25">
        <v>4000</v>
      </c>
      <c r="F271" s="25">
        <v>5000</v>
      </c>
      <c r="G271" s="25">
        <v>10000</v>
      </c>
      <c r="H271" s="25">
        <v>5000</v>
      </c>
      <c r="I271" s="25">
        <v>3750</v>
      </c>
      <c r="J271" s="38">
        <f t="shared" si="4"/>
        <v>27750</v>
      </c>
    </row>
    <row r="272" s="1" customFormat="1" spans="1:10">
      <c r="A272" s="35" t="s">
        <v>312</v>
      </c>
      <c r="B272" s="36" t="s">
        <v>313</v>
      </c>
      <c r="C272" s="23">
        <v>3000</v>
      </c>
      <c r="D272" s="30">
        <v>3000</v>
      </c>
      <c r="E272" s="25">
        <v>12000</v>
      </c>
      <c r="F272" s="25">
        <v>5000</v>
      </c>
      <c r="G272" s="25">
        <v>10000</v>
      </c>
      <c r="H272" s="25">
        <v>5000</v>
      </c>
      <c r="I272" s="25">
        <v>7500</v>
      </c>
      <c r="J272" s="38">
        <f t="shared" si="4"/>
        <v>39500</v>
      </c>
    </row>
    <row r="273" s="1" customFormat="1" spans="1:10">
      <c r="A273" s="35" t="s">
        <v>314</v>
      </c>
      <c r="B273" s="36" t="s">
        <v>313</v>
      </c>
      <c r="C273" s="23">
        <v>2000</v>
      </c>
      <c r="D273" s="30">
        <v>2000</v>
      </c>
      <c r="E273" s="25">
        <v>8000</v>
      </c>
      <c r="F273" s="25">
        <v>5000</v>
      </c>
      <c r="G273" s="25">
        <v>10000</v>
      </c>
      <c r="H273" s="25">
        <v>5000</v>
      </c>
      <c r="I273" s="25">
        <v>5000</v>
      </c>
      <c r="J273" s="38">
        <f t="shared" si="4"/>
        <v>33000</v>
      </c>
    </row>
    <row r="274" s="1" customFormat="1" spans="1:10">
      <c r="A274" s="35" t="s">
        <v>315</v>
      </c>
      <c r="B274" s="36" t="s">
        <v>313</v>
      </c>
      <c r="C274" s="23">
        <v>1000</v>
      </c>
      <c r="D274" s="30">
        <v>1500</v>
      </c>
      <c r="E274" s="25">
        <v>4000</v>
      </c>
      <c r="F274" s="25">
        <v>5000</v>
      </c>
      <c r="G274" s="25">
        <v>10000</v>
      </c>
      <c r="H274" s="25">
        <v>5000</v>
      </c>
      <c r="I274" s="25">
        <v>3750</v>
      </c>
      <c r="J274" s="38">
        <f t="shared" si="4"/>
        <v>27750</v>
      </c>
    </row>
    <row r="275" s="1" customFormat="1" spans="1:10">
      <c r="A275" s="35" t="s">
        <v>316</v>
      </c>
      <c r="B275" s="36" t="s">
        <v>257</v>
      </c>
      <c r="C275" s="23">
        <v>3000</v>
      </c>
      <c r="D275" s="30">
        <v>3000</v>
      </c>
      <c r="E275" s="25">
        <v>12000</v>
      </c>
      <c r="F275" s="25">
        <v>5000</v>
      </c>
      <c r="G275" s="25">
        <v>10000</v>
      </c>
      <c r="H275" s="25">
        <v>5000</v>
      </c>
      <c r="I275" s="25">
        <v>7500</v>
      </c>
      <c r="J275" s="38">
        <f t="shared" si="4"/>
        <v>39500</v>
      </c>
    </row>
    <row r="276" s="1" customFormat="1" spans="1:10">
      <c r="A276" s="35" t="s">
        <v>317</v>
      </c>
      <c r="B276" s="36" t="s">
        <v>257</v>
      </c>
      <c r="C276" s="23">
        <v>2000</v>
      </c>
      <c r="D276" s="30">
        <v>2000</v>
      </c>
      <c r="E276" s="25">
        <v>8000</v>
      </c>
      <c r="F276" s="25">
        <v>5000</v>
      </c>
      <c r="G276" s="25">
        <v>10000</v>
      </c>
      <c r="H276" s="25">
        <v>5000</v>
      </c>
      <c r="I276" s="25">
        <v>5000</v>
      </c>
      <c r="J276" s="38">
        <f t="shared" si="4"/>
        <v>33000</v>
      </c>
    </row>
    <row r="277" s="1" customFormat="1" spans="1:10">
      <c r="A277" s="35" t="s">
        <v>318</v>
      </c>
      <c r="B277" s="36" t="s">
        <v>257</v>
      </c>
      <c r="C277" s="23">
        <v>1000</v>
      </c>
      <c r="D277" s="30">
        <v>1500</v>
      </c>
      <c r="E277" s="25">
        <v>4000</v>
      </c>
      <c r="F277" s="25">
        <v>5000</v>
      </c>
      <c r="G277" s="25">
        <v>10000</v>
      </c>
      <c r="H277" s="25">
        <v>5000</v>
      </c>
      <c r="I277" s="25">
        <v>3750</v>
      </c>
      <c r="J277" s="38">
        <f t="shared" si="4"/>
        <v>27750</v>
      </c>
    </row>
    <row r="278" s="1" customFormat="1" spans="1:10">
      <c r="A278" s="35" t="s">
        <v>319</v>
      </c>
      <c r="B278" s="36" t="s">
        <v>320</v>
      </c>
      <c r="C278" s="36"/>
      <c r="D278" s="38">
        <v>3000</v>
      </c>
      <c r="E278" s="25">
        <v>0</v>
      </c>
      <c r="F278" s="25">
        <v>5000</v>
      </c>
      <c r="G278" s="25">
        <v>10000</v>
      </c>
      <c r="H278" s="25">
        <v>5000</v>
      </c>
      <c r="I278" s="25">
        <v>7500</v>
      </c>
      <c r="J278" s="38">
        <f t="shared" si="4"/>
        <v>27500</v>
      </c>
    </row>
    <row r="279" s="1" customFormat="1" spans="1:10">
      <c r="A279" s="35" t="s">
        <v>321</v>
      </c>
      <c r="B279" s="36" t="s">
        <v>322</v>
      </c>
      <c r="C279" s="36"/>
      <c r="D279" s="38">
        <v>3000</v>
      </c>
      <c r="E279" s="25">
        <v>0</v>
      </c>
      <c r="F279" s="25">
        <v>5000</v>
      </c>
      <c r="G279" s="25">
        <v>10000</v>
      </c>
      <c r="H279" s="25">
        <v>5000</v>
      </c>
      <c r="I279" s="25">
        <v>7500</v>
      </c>
      <c r="J279" s="38">
        <f t="shared" si="4"/>
        <v>27500</v>
      </c>
    </row>
    <row r="280" s="1" customFormat="1" spans="1:10">
      <c r="A280" s="31" t="s">
        <v>323</v>
      </c>
      <c r="B280" s="31"/>
      <c r="C280" s="31"/>
      <c r="D280" s="31"/>
      <c r="E280" s="31"/>
      <c r="F280" s="31"/>
      <c r="G280" s="31"/>
      <c r="H280" s="31"/>
      <c r="I280" s="32"/>
      <c r="J280" s="31"/>
    </row>
    <row r="281" s="1" customFormat="1" spans="1:10">
      <c r="A281" s="35" t="s">
        <v>324</v>
      </c>
      <c r="B281" s="36" t="s">
        <v>160</v>
      </c>
      <c r="C281" s="23">
        <v>3000</v>
      </c>
      <c r="D281" s="30">
        <v>3000</v>
      </c>
      <c r="E281" s="25">
        <v>12000</v>
      </c>
      <c r="F281" s="25">
        <v>5000</v>
      </c>
      <c r="G281" s="25">
        <v>10000</v>
      </c>
      <c r="H281" s="25">
        <v>5000</v>
      </c>
      <c r="I281" s="25">
        <v>7500</v>
      </c>
      <c r="J281" s="38">
        <f t="shared" ref="J281:J293" si="5">SUM(E281:I281)</f>
        <v>39500</v>
      </c>
    </row>
    <row r="282" s="1" customFormat="1" spans="1:10">
      <c r="A282" s="35" t="s">
        <v>325</v>
      </c>
      <c r="B282" s="36" t="s">
        <v>160</v>
      </c>
      <c r="C282" s="23">
        <v>2000</v>
      </c>
      <c r="D282" s="30">
        <v>2000</v>
      </c>
      <c r="E282" s="25">
        <v>8000</v>
      </c>
      <c r="F282" s="25">
        <v>5000</v>
      </c>
      <c r="G282" s="25">
        <v>10000</v>
      </c>
      <c r="H282" s="25">
        <v>5000</v>
      </c>
      <c r="I282" s="25">
        <v>5000</v>
      </c>
      <c r="J282" s="38">
        <f t="shared" si="5"/>
        <v>33000</v>
      </c>
    </row>
    <row r="283" s="1" customFormat="1" spans="1:10">
      <c r="A283" s="35" t="s">
        <v>326</v>
      </c>
      <c r="B283" s="36" t="s">
        <v>160</v>
      </c>
      <c r="C283" s="23">
        <v>1000</v>
      </c>
      <c r="D283" s="30">
        <v>1000</v>
      </c>
      <c r="E283" s="25">
        <v>4000</v>
      </c>
      <c r="F283" s="25">
        <v>5000</v>
      </c>
      <c r="G283" s="25">
        <v>10000</v>
      </c>
      <c r="H283" s="25">
        <v>5000</v>
      </c>
      <c r="I283" s="25">
        <v>2500</v>
      </c>
      <c r="J283" s="38">
        <f t="shared" si="5"/>
        <v>26500</v>
      </c>
    </row>
    <row r="284" s="1" customFormat="1" spans="1:10">
      <c r="A284" s="35" t="s">
        <v>327</v>
      </c>
      <c r="B284" s="36" t="s">
        <v>160</v>
      </c>
      <c r="C284" s="23">
        <v>500</v>
      </c>
      <c r="D284" s="30">
        <v>500</v>
      </c>
      <c r="E284" s="25">
        <v>2000</v>
      </c>
      <c r="F284" s="25">
        <v>5000</v>
      </c>
      <c r="G284" s="25">
        <v>10000</v>
      </c>
      <c r="H284" s="25">
        <v>5000</v>
      </c>
      <c r="I284" s="25">
        <v>1250</v>
      </c>
      <c r="J284" s="38">
        <f t="shared" si="5"/>
        <v>23250</v>
      </c>
    </row>
    <row r="285" s="1" customFormat="1" spans="1:10">
      <c r="A285" s="35" t="s">
        <v>328</v>
      </c>
      <c r="B285" s="36" t="s">
        <v>160</v>
      </c>
      <c r="C285" s="23">
        <v>3000</v>
      </c>
      <c r="D285" s="30">
        <v>3000</v>
      </c>
      <c r="E285" s="25">
        <v>12000</v>
      </c>
      <c r="F285" s="25">
        <v>5000</v>
      </c>
      <c r="G285" s="25">
        <v>10000</v>
      </c>
      <c r="H285" s="25">
        <v>5000</v>
      </c>
      <c r="I285" s="25">
        <v>7500</v>
      </c>
      <c r="J285" s="38">
        <f t="shared" si="5"/>
        <v>39500</v>
      </c>
    </row>
    <row r="286" s="1" customFormat="1" spans="1:10">
      <c r="A286" s="35" t="s">
        <v>329</v>
      </c>
      <c r="B286" s="36" t="s">
        <v>160</v>
      </c>
      <c r="C286" s="23">
        <v>2000</v>
      </c>
      <c r="D286" s="30">
        <v>2000</v>
      </c>
      <c r="E286" s="25">
        <v>8000</v>
      </c>
      <c r="F286" s="25">
        <v>5000</v>
      </c>
      <c r="G286" s="25">
        <v>10000</v>
      </c>
      <c r="H286" s="25">
        <v>5000</v>
      </c>
      <c r="I286" s="25">
        <v>5000</v>
      </c>
      <c r="J286" s="38">
        <f t="shared" si="5"/>
        <v>33000</v>
      </c>
    </row>
    <row r="287" s="1" customFormat="1" spans="1:10">
      <c r="A287" s="35" t="s">
        <v>330</v>
      </c>
      <c r="B287" s="36" t="s">
        <v>160</v>
      </c>
      <c r="C287" s="23">
        <v>1000</v>
      </c>
      <c r="D287" s="30">
        <v>1000</v>
      </c>
      <c r="E287" s="25">
        <v>4000</v>
      </c>
      <c r="F287" s="25">
        <v>5000</v>
      </c>
      <c r="G287" s="25">
        <v>10000</v>
      </c>
      <c r="H287" s="25">
        <v>5000</v>
      </c>
      <c r="I287" s="25">
        <v>2500</v>
      </c>
      <c r="J287" s="38">
        <f t="shared" si="5"/>
        <v>26500</v>
      </c>
    </row>
    <row r="288" s="1" customFormat="1" spans="1:10">
      <c r="A288" s="35" t="s">
        <v>331</v>
      </c>
      <c r="B288" s="36" t="s">
        <v>160</v>
      </c>
      <c r="C288" s="23">
        <v>500</v>
      </c>
      <c r="D288" s="30">
        <v>500</v>
      </c>
      <c r="E288" s="25">
        <v>2000</v>
      </c>
      <c r="F288" s="25">
        <v>5000</v>
      </c>
      <c r="G288" s="25">
        <v>10000</v>
      </c>
      <c r="H288" s="25">
        <v>5000</v>
      </c>
      <c r="I288" s="25">
        <v>1250</v>
      </c>
      <c r="J288" s="38">
        <f t="shared" si="5"/>
        <v>23250</v>
      </c>
    </row>
    <row r="289" s="1" customFormat="1" spans="1:11">
      <c r="A289" s="35" t="s">
        <v>332</v>
      </c>
      <c r="B289" s="36" t="s">
        <v>160</v>
      </c>
      <c r="C289" s="23">
        <v>4000</v>
      </c>
      <c r="D289" s="30">
        <v>3000</v>
      </c>
      <c r="E289" s="25">
        <v>16000</v>
      </c>
      <c r="F289" s="25">
        <v>5000</v>
      </c>
      <c r="G289" s="25">
        <v>10000</v>
      </c>
      <c r="H289" s="25">
        <v>5000</v>
      </c>
      <c r="I289" s="25">
        <v>7500</v>
      </c>
      <c r="J289" s="38">
        <f t="shared" si="5"/>
        <v>43500</v>
      </c>
    </row>
    <row r="290" s="1" customFormat="1" spans="1:11">
      <c r="A290" s="35" t="s">
        <v>333</v>
      </c>
      <c r="B290" s="36" t="s">
        <v>160</v>
      </c>
      <c r="C290" s="23">
        <v>3000</v>
      </c>
      <c r="D290" s="30">
        <v>3000</v>
      </c>
      <c r="E290" s="25">
        <v>12000</v>
      </c>
      <c r="F290" s="25">
        <v>5000</v>
      </c>
      <c r="G290" s="25">
        <v>10000</v>
      </c>
      <c r="H290" s="25">
        <v>5000</v>
      </c>
      <c r="I290" s="25">
        <v>7500</v>
      </c>
      <c r="J290" s="38">
        <f t="shared" si="5"/>
        <v>39500</v>
      </c>
    </row>
    <row r="291" s="1" customFormat="1" spans="1:11">
      <c r="A291" s="35" t="s">
        <v>334</v>
      </c>
      <c r="B291" s="36" t="s">
        <v>160</v>
      </c>
      <c r="C291" s="23">
        <v>2000</v>
      </c>
      <c r="D291" s="30">
        <v>2000</v>
      </c>
      <c r="E291" s="25">
        <v>8000</v>
      </c>
      <c r="F291" s="25">
        <v>5000</v>
      </c>
      <c r="G291" s="25">
        <v>10000</v>
      </c>
      <c r="H291" s="25">
        <v>5000</v>
      </c>
      <c r="I291" s="25">
        <v>5000</v>
      </c>
      <c r="J291" s="38">
        <f t="shared" si="5"/>
        <v>33000</v>
      </c>
    </row>
    <row r="292" s="1" customFormat="1" spans="1:11">
      <c r="A292" s="35" t="s">
        <v>335</v>
      </c>
      <c r="B292" s="23" t="s">
        <v>160</v>
      </c>
      <c r="C292" s="23">
        <v>1000</v>
      </c>
      <c r="D292" s="30">
        <v>1000</v>
      </c>
      <c r="E292" s="25">
        <v>4000</v>
      </c>
      <c r="F292" s="25">
        <v>5000</v>
      </c>
      <c r="G292" s="25">
        <v>10000</v>
      </c>
      <c r="H292" s="25">
        <v>5000</v>
      </c>
      <c r="I292" s="25">
        <v>2500</v>
      </c>
      <c r="J292" s="38">
        <f t="shared" si="5"/>
        <v>26500</v>
      </c>
    </row>
    <row r="293" s="1" customFormat="1" ht="27.6" spans="1:11">
      <c r="A293" s="35" t="s">
        <v>336</v>
      </c>
      <c r="B293" s="23" t="s">
        <v>160</v>
      </c>
      <c r="C293" s="23">
        <v>500</v>
      </c>
      <c r="D293" s="30">
        <v>3000</v>
      </c>
      <c r="E293" s="25">
        <v>2000</v>
      </c>
      <c r="F293" s="25">
        <v>5000</v>
      </c>
      <c r="G293" s="25">
        <v>10000</v>
      </c>
      <c r="H293" s="25">
        <v>5000</v>
      </c>
      <c r="I293" s="25">
        <v>7500</v>
      </c>
      <c r="J293" s="38">
        <f t="shared" si="5"/>
        <v>29500</v>
      </c>
    </row>
    <row r="294" s="1" customFormat="1" spans="1:11">
      <c r="D294" s="39"/>
      <c r="E294" s="3"/>
      <c r="F294" s="3"/>
      <c r="G294" s="3"/>
      <c r="H294" s="3"/>
      <c r="I294" s="3"/>
      <c r="J294" s="39"/>
      <c r="K294" s="40"/>
    </row>
    <row r="295" s="1" customFormat="1" spans="1:11">
      <c r="D295" s="2"/>
      <c r="E295" s="3"/>
      <c r="F295" s="3"/>
      <c r="G295" s="3"/>
      <c r="H295" s="3"/>
      <c r="I295" s="3"/>
      <c r="J295" s="39"/>
    </row>
    <row r="296" s="1" customFormat="1" spans="1:11">
      <c r="D296" s="2"/>
      <c r="E296" s="3"/>
      <c r="F296" s="3"/>
      <c r="G296" s="3"/>
      <c r="H296" s="3"/>
      <c r="I296" s="3"/>
      <c r="J296" s="39"/>
    </row>
    <row r="297" s="1" customFormat="1" spans="1:11">
      <c r="D297" s="2"/>
      <c r="E297" s="3"/>
      <c r="F297" s="3"/>
      <c r="G297" s="3"/>
      <c r="H297" s="3"/>
      <c r="I297" s="3"/>
      <c r="J297" s="39"/>
    </row>
    <row r="298" s="1" customFormat="1" spans="1:11">
      <c r="D298" s="2"/>
      <c r="E298" s="3"/>
      <c r="F298" s="3"/>
      <c r="G298" s="3"/>
      <c r="H298" s="3"/>
      <c r="I298" s="3"/>
      <c r="J298" s="39"/>
    </row>
    <row r="299" s="1" customFormat="1" spans="1:11">
      <c r="D299" s="2"/>
      <c r="E299" s="3"/>
      <c r="F299" s="3"/>
      <c r="G299" s="3"/>
      <c r="H299" s="3"/>
      <c r="I299" s="3"/>
      <c r="J299" s="39"/>
    </row>
    <row r="300" s="1" customFormat="1" spans="1:11">
      <c r="D300" s="2"/>
      <c r="E300" s="3"/>
      <c r="F300" s="3"/>
      <c r="G300" s="3"/>
      <c r="H300" s="3"/>
      <c r="I300" s="3"/>
      <c r="J300" s="39"/>
    </row>
    <row r="301" s="1" customFormat="1" spans="1:11">
      <c r="D301" s="2"/>
      <c r="E301" s="3"/>
      <c r="F301" s="3"/>
      <c r="G301" s="3"/>
      <c r="H301" s="3"/>
      <c r="I301" s="3"/>
      <c r="J301" s="39"/>
    </row>
    <row r="302" s="1" customFormat="1" spans="1:11">
      <c r="D302" s="2"/>
      <c r="E302" s="3"/>
      <c r="F302" s="3"/>
      <c r="G302" s="3"/>
      <c r="H302" s="3"/>
      <c r="I302" s="3"/>
      <c r="J302" s="39"/>
    </row>
    <row r="303" s="1" customFormat="1" spans="1:11">
      <c r="D303" s="2"/>
      <c r="E303" s="3"/>
      <c r="F303" s="3"/>
      <c r="G303" s="3"/>
      <c r="H303" s="3"/>
      <c r="I303" s="3"/>
      <c r="J303" s="39"/>
    </row>
    <row r="304" s="1" customFormat="1" spans="1:11">
      <c r="D304" s="2"/>
      <c r="E304" s="3"/>
      <c r="F304" s="3"/>
      <c r="G304" s="3"/>
      <c r="H304" s="3"/>
      <c r="I304" s="3"/>
      <c r="J304" s="39"/>
    </row>
    <row r="305" s="1" customFormat="1" spans="4:10">
      <c r="D305" s="2"/>
      <c r="E305" s="3"/>
      <c r="F305" s="3"/>
      <c r="G305" s="3"/>
      <c r="H305" s="3"/>
      <c r="I305" s="3"/>
      <c r="J305" s="39"/>
    </row>
    <row r="306" s="1" customFormat="1" spans="4:10">
      <c r="D306" s="2"/>
      <c r="E306" s="3"/>
      <c r="F306" s="3"/>
      <c r="G306" s="3"/>
      <c r="H306" s="3"/>
      <c r="I306" s="3"/>
      <c r="J306" s="39"/>
    </row>
    <row r="307" s="1" customFormat="1" spans="4:10">
      <c r="D307" s="2"/>
      <c r="E307" s="3"/>
      <c r="F307" s="3"/>
      <c r="G307" s="3"/>
      <c r="H307" s="3"/>
      <c r="I307" s="3"/>
      <c r="J307" s="39"/>
    </row>
    <row r="308" s="1" customFormat="1" spans="4:10">
      <c r="D308" s="2"/>
      <c r="E308" s="3"/>
      <c r="F308" s="3"/>
      <c r="G308" s="3"/>
      <c r="H308" s="3"/>
      <c r="I308" s="3"/>
      <c r="J308" s="39"/>
    </row>
    <row r="309" s="1" customFormat="1" spans="4:10">
      <c r="D309" s="2"/>
      <c r="E309" s="3"/>
      <c r="F309" s="3"/>
      <c r="G309" s="3"/>
      <c r="H309" s="3"/>
      <c r="I309" s="3"/>
      <c r="J309" s="39"/>
    </row>
    <row r="310" s="1" customFormat="1" spans="4:10">
      <c r="D310" s="2"/>
      <c r="E310" s="3"/>
      <c r="F310" s="3"/>
      <c r="G310" s="3"/>
      <c r="H310" s="3"/>
      <c r="I310" s="3"/>
      <c r="J310" s="39"/>
    </row>
    <row r="311" s="1" customFormat="1" spans="4:10">
      <c r="D311" s="2"/>
      <c r="E311" s="3"/>
      <c r="F311" s="3"/>
      <c r="G311" s="3"/>
      <c r="H311" s="3"/>
      <c r="I311" s="3"/>
      <c r="J311" s="39"/>
    </row>
    <row r="312" s="1" customFormat="1" spans="4:10">
      <c r="D312" s="2"/>
      <c r="E312" s="3"/>
      <c r="F312" s="3"/>
      <c r="G312" s="3"/>
      <c r="H312" s="3"/>
      <c r="I312" s="3"/>
      <c r="J312" s="39"/>
    </row>
    <row r="313" s="1" customFormat="1" spans="4:10">
      <c r="D313" s="2"/>
      <c r="E313" s="3"/>
      <c r="F313" s="3"/>
      <c r="G313" s="3"/>
      <c r="H313" s="3"/>
      <c r="I313" s="3"/>
      <c r="J313" s="39"/>
    </row>
    <row r="314" s="1" customFormat="1" spans="4:10">
      <c r="D314" s="2"/>
      <c r="E314" s="3"/>
      <c r="F314" s="3"/>
      <c r="G314" s="3"/>
      <c r="H314" s="3"/>
      <c r="I314" s="3"/>
      <c r="J314" s="39"/>
    </row>
    <row r="315" s="1" customFormat="1" spans="4:10">
      <c r="D315" s="2"/>
      <c r="E315" s="3"/>
      <c r="F315" s="3"/>
      <c r="G315" s="3"/>
      <c r="H315" s="3"/>
      <c r="I315" s="3"/>
      <c r="J315" s="39"/>
    </row>
    <row r="316" s="1" customFormat="1" spans="4:10">
      <c r="D316" s="2"/>
      <c r="E316" s="3"/>
      <c r="F316" s="3"/>
      <c r="G316" s="3"/>
      <c r="H316" s="3"/>
      <c r="I316" s="3"/>
      <c r="J316" s="39"/>
    </row>
    <row r="317" s="1" customFormat="1" spans="4:10">
      <c r="D317" s="2"/>
      <c r="E317" s="3"/>
      <c r="F317" s="3"/>
      <c r="G317" s="3"/>
      <c r="H317" s="3"/>
      <c r="I317" s="3"/>
      <c r="J317" s="39"/>
    </row>
    <row r="318" s="1" customFormat="1" spans="4:10">
      <c r="D318" s="2"/>
      <c r="E318" s="3"/>
      <c r="F318" s="3"/>
      <c r="G318" s="3"/>
      <c r="H318" s="3"/>
      <c r="I318" s="3"/>
      <c r="J318" s="39"/>
    </row>
    <row r="319" s="1" customFormat="1" spans="4:10">
      <c r="D319" s="2"/>
      <c r="E319" s="3"/>
      <c r="F319" s="3"/>
      <c r="G319" s="3"/>
      <c r="H319" s="3"/>
      <c r="I319" s="3"/>
      <c r="J319" s="39"/>
    </row>
    <row r="320" s="1" customFormat="1" spans="4:10">
      <c r="D320" s="2"/>
      <c r="E320" s="3"/>
      <c r="F320" s="3"/>
      <c r="G320" s="3"/>
      <c r="H320" s="3"/>
      <c r="I320" s="3"/>
      <c r="J320" s="39"/>
    </row>
    <row r="321" s="1" customFormat="1" spans="4:10">
      <c r="D321" s="2"/>
      <c r="E321" s="3"/>
      <c r="F321" s="3"/>
      <c r="G321" s="3"/>
      <c r="H321" s="3"/>
      <c r="I321" s="3"/>
      <c r="J321" s="39"/>
    </row>
    <row r="322" s="1" customFormat="1" spans="4:10">
      <c r="D322" s="2"/>
      <c r="E322" s="3"/>
      <c r="F322" s="3"/>
      <c r="G322" s="3"/>
      <c r="H322" s="3"/>
      <c r="I322" s="3"/>
      <c r="J322" s="39"/>
    </row>
    <row r="323" s="1" customFormat="1" spans="4:10">
      <c r="D323" s="2"/>
      <c r="E323" s="3"/>
      <c r="F323" s="3"/>
      <c r="G323" s="3"/>
      <c r="H323" s="3"/>
      <c r="I323" s="3"/>
      <c r="J323" s="39"/>
    </row>
    <row r="324" s="1" customFormat="1" spans="4:10">
      <c r="D324" s="2"/>
      <c r="E324" s="3"/>
      <c r="F324" s="3"/>
      <c r="G324" s="3"/>
      <c r="H324" s="3"/>
      <c r="I324" s="3"/>
      <c r="J324" s="39"/>
    </row>
    <row r="325" s="1" customFormat="1" spans="4:10">
      <c r="D325" s="2"/>
      <c r="E325" s="3"/>
      <c r="F325" s="3"/>
      <c r="G325" s="3"/>
      <c r="H325" s="3"/>
      <c r="I325" s="3"/>
      <c r="J325" s="39"/>
    </row>
    <row r="326" s="1" customFormat="1" spans="4:10">
      <c r="D326" s="2"/>
      <c r="E326" s="3"/>
      <c r="F326" s="3"/>
      <c r="G326" s="3"/>
      <c r="H326" s="3"/>
      <c r="I326" s="3"/>
      <c r="J326" s="39"/>
    </row>
    <row r="327" s="1" customFormat="1" spans="4:10">
      <c r="D327" s="2"/>
      <c r="E327" s="3"/>
      <c r="F327" s="3"/>
      <c r="G327" s="3"/>
      <c r="H327" s="3"/>
      <c r="I327" s="3"/>
      <c r="J327" s="39"/>
    </row>
    <row r="328" s="1" customFormat="1" spans="4:10">
      <c r="D328" s="2"/>
      <c r="E328" s="3"/>
      <c r="F328" s="3"/>
      <c r="G328" s="3"/>
      <c r="H328" s="3"/>
      <c r="I328" s="3"/>
      <c r="J328" s="39"/>
    </row>
    <row r="329" s="1" customFormat="1" spans="4:10">
      <c r="D329" s="2"/>
      <c r="E329" s="3"/>
      <c r="F329" s="3"/>
      <c r="G329" s="3"/>
      <c r="H329" s="3"/>
      <c r="I329" s="3"/>
      <c r="J329" s="39"/>
    </row>
    <row r="330" s="1" customFormat="1" spans="4:10">
      <c r="D330" s="2"/>
      <c r="E330" s="3"/>
      <c r="F330" s="3"/>
      <c r="G330" s="3"/>
      <c r="H330" s="3"/>
      <c r="I330" s="3"/>
      <c r="J330" s="39"/>
    </row>
    <row r="331" s="1" customFormat="1" spans="4:10">
      <c r="D331" s="2"/>
      <c r="E331" s="3"/>
      <c r="F331" s="3"/>
      <c r="G331" s="3"/>
      <c r="H331" s="3"/>
      <c r="I331" s="3"/>
      <c r="J331" s="39"/>
    </row>
    <row r="332" s="1" customFormat="1" spans="4:10">
      <c r="D332" s="2"/>
      <c r="E332" s="3"/>
      <c r="F332" s="3"/>
      <c r="G332" s="3"/>
      <c r="H332" s="3"/>
      <c r="I332" s="3"/>
      <c r="J332" s="39"/>
    </row>
    <row r="333" s="1" customFormat="1" spans="4:10">
      <c r="D333" s="2"/>
      <c r="E333" s="3"/>
      <c r="F333" s="3"/>
      <c r="G333" s="3"/>
      <c r="H333" s="3"/>
      <c r="I333" s="3"/>
      <c r="J333" s="39"/>
    </row>
    <row r="334" s="1" customFormat="1" spans="4:10">
      <c r="D334" s="2"/>
      <c r="E334" s="3"/>
      <c r="F334" s="3"/>
      <c r="G334" s="3"/>
      <c r="H334" s="3"/>
      <c r="I334" s="3"/>
      <c r="J334" s="39"/>
    </row>
    <row r="335" s="1" customFormat="1" spans="4:10">
      <c r="D335" s="2"/>
      <c r="E335" s="3"/>
      <c r="F335" s="3"/>
      <c r="G335" s="3"/>
      <c r="H335" s="3"/>
      <c r="I335" s="3"/>
      <c r="J335" s="39"/>
    </row>
    <row r="336" s="1" customFormat="1" spans="4:10">
      <c r="D336" s="2"/>
      <c r="E336" s="3"/>
      <c r="F336" s="3"/>
      <c r="G336" s="3"/>
      <c r="H336" s="3"/>
      <c r="I336" s="3"/>
      <c r="J336" s="39"/>
    </row>
    <row r="337" s="1" customFormat="1" spans="4:10">
      <c r="D337" s="2"/>
      <c r="E337" s="3"/>
      <c r="F337" s="3"/>
      <c r="G337" s="3"/>
      <c r="H337" s="3"/>
      <c r="I337" s="3"/>
      <c r="J337" s="39"/>
    </row>
    <row r="338" s="1" customFormat="1" spans="4:10">
      <c r="D338" s="2"/>
      <c r="E338" s="3"/>
      <c r="F338" s="3"/>
      <c r="G338" s="3"/>
      <c r="H338" s="3"/>
      <c r="I338" s="3"/>
      <c r="J338" s="39"/>
    </row>
    <row r="339" s="1" customFormat="1" spans="4:10">
      <c r="D339" s="2"/>
      <c r="E339" s="3"/>
      <c r="F339" s="3"/>
      <c r="G339" s="3"/>
      <c r="H339" s="3"/>
      <c r="I339" s="3"/>
      <c r="J339" s="39"/>
    </row>
    <row r="340" s="1" customFormat="1" spans="4:10">
      <c r="D340" s="2"/>
      <c r="E340" s="3"/>
      <c r="F340" s="3"/>
      <c r="G340" s="3"/>
      <c r="H340" s="3"/>
      <c r="I340" s="3"/>
      <c r="J340" s="39"/>
    </row>
    <row r="341" s="1" customFormat="1" spans="4:10">
      <c r="D341" s="2"/>
      <c r="E341" s="3"/>
      <c r="F341" s="3"/>
      <c r="G341" s="3"/>
      <c r="H341" s="3"/>
      <c r="I341" s="3"/>
      <c r="J341" s="39"/>
    </row>
    <row r="342" s="1" customFormat="1" spans="4:10">
      <c r="D342" s="2"/>
      <c r="E342" s="3"/>
      <c r="F342" s="3"/>
      <c r="G342" s="3"/>
      <c r="H342" s="3"/>
      <c r="I342" s="3"/>
      <c r="J342" s="39"/>
    </row>
    <row r="343" s="1" customFormat="1" spans="4:10">
      <c r="D343" s="2"/>
      <c r="E343" s="3"/>
      <c r="F343" s="3"/>
      <c r="G343" s="3"/>
      <c r="H343" s="3"/>
      <c r="I343" s="3"/>
      <c r="J343" s="39"/>
    </row>
    <row r="344" s="1" customFormat="1" spans="4:10">
      <c r="D344" s="2"/>
      <c r="E344" s="3"/>
      <c r="F344" s="3"/>
      <c r="G344" s="3"/>
      <c r="H344" s="3"/>
      <c r="I344" s="3"/>
      <c r="J344" s="39"/>
    </row>
    <row r="345" s="1" customFormat="1" spans="4:10">
      <c r="D345" s="2"/>
      <c r="E345" s="3"/>
      <c r="F345" s="3"/>
      <c r="G345" s="3"/>
      <c r="H345" s="3"/>
      <c r="I345" s="3"/>
      <c r="J345" s="39"/>
    </row>
    <row r="346" s="1" customFormat="1" spans="4:10">
      <c r="D346" s="2"/>
      <c r="E346" s="3"/>
      <c r="F346" s="3"/>
      <c r="G346" s="3"/>
      <c r="H346" s="3"/>
      <c r="I346" s="3"/>
      <c r="J346" s="39"/>
    </row>
    <row r="347" s="1" customFormat="1" spans="4:10">
      <c r="D347" s="2"/>
      <c r="E347" s="3"/>
      <c r="F347" s="3"/>
      <c r="G347" s="3"/>
      <c r="H347" s="3"/>
      <c r="I347" s="3"/>
      <c r="J347" s="39"/>
    </row>
    <row r="348" s="1" customFormat="1" spans="4:10">
      <c r="D348" s="2"/>
      <c r="E348" s="3"/>
      <c r="F348" s="3"/>
      <c r="G348" s="3"/>
      <c r="H348" s="3"/>
      <c r="I348" s="3"/>
      <c r="J348" s="39"/>
    </row>
    <row r="349" s="1" customFormat="1" spans="4:10">
      <c r="D349" s="2"/>
      <c r="E349" s="3"/>
      <c r="F349" s="3"/>
      <c r="G349" s="3"/>
      <c r="H349" s="3"/>
      <c r="I349" s="3"/>
      <c r="J349" s="39"/>
    </row>
    <row r="350" s="1" customFormat="1" spans="4:10">
      <c r="D350" s="2"/>
      <c r="E350" s="3"/>
      <c r="F350" s="3"/>
      <c r="G350" s="3"/>
      <c r="H350" s="3"/>
      <c r="I350" s="3"/>
      <c r="J350" s="39"/>
    </row>
    <row r="351" s="1" customFormat="1" spans="4:10">
      <c r="D351" s="2"/>
      <c r="E351" s="3"/>
      <c r="F351" s="3"/>
      <c r="G351" s="3"/>
      <c r="H351" s="3"/>
      <c r="I351" s="3"/>
      <c r="J351" s="39"/>
    </row>
    <row r="352" s="1" customFormat="1" spans="4:10">
      <c r="D352" s="2"/>
      <c r="E352" s="3"/>
      <c r="F352" s="3"/>
      <c r="G352" s="3"/>
      <c r="H352" s="3"/>
      <c r="I352" s="3"/>
      <c r="J352" s="39"/>
    </row>
    <row r="353" s="1" customFormat="1" spans="4:10">
      <c r="D353" s="2"/>
      <c r="E353" s="3"/>
      <c r="F353" s="3"/>
      <c r="G353" s="3"/>
      <c r="H353" s="3"/>
      <c r="I353" s="3"/>
      <c r="J353" s="39"/>
    </row>
    <row r="354" s="1" customFormat="1" spans="4:10">
      <c r="D354" s="2"/>
      <c r="E354" s="3"/>
      <c r="F354" s="3"/>
      <c r="G354" s="3"/>
      <c r="H354" s="3"/>
      <c r="I354" s="3"/>
      <c r="J354" s="39"/>
    </row>
    <row r="355" s="1" customFormat="1" spans="4:10">
      <c r="D355" s="2"/>
      <c r="E355" s="3"/>
      <c r="F355" s="3"/>
      <c r="G355" s="3"/>
      <c r="H355" s="3"/>
      <c r="I355" s="3"/>
      <c r="J355" s="39"/>
    </row>
    <row r="356" s="1" customFormat="1" spans="4:10">
      <c r="D356" s="2"/>
      <c r="E356" s="3"/>
      <c r="F356" s="3"/>
      <c r="G356" s="3"/>
      <c r="H356" s="3"/>
      <c r="I356" s="3"/>
      <c r="J356" s="39"/>
    </row>
    <row r="357" s="1" customFormat="1" spans="4:10">
      <c r="D357" s="2"/>
      <c r="E357" s="3"/>
      <c r="F357" s="3"/>
      <c r="G357" s="3"/>
      <c r="H357" s="3"/>
      <c r="I357" s="3"/>
      <c r="J357" s="39"/>
    </row>
    <row r="358" s="1" customFormat="1" spans="4:10">
      <c r="D358" s="2"/>
      <c r="E358" s="3"/>
      <c r="F358" s="3"/>
      <c r="G358" s="3"/>
      <c r="H358" s="3"/>
      <c r="I358" s="3"/>
      <c r="J358" s="39"/>
    </row>
    <row r="359" s="1" customFormat="1" spans="4:10">
      <c r="D359" s="2"/>
      <c r="E359" s="3"/>
      <c r="F359" s="3"/>
      <c r="G359" s="3"/>
      <c r="H359" s="3"/>
      <c r="I359" s="3"/>
      <c r="J359" s="39"/>
    </row>
    <row r="360" s="1" customFormat="1" spans="4:10">
      <c r="D360" s="2"/>
      <c r="E360" s="3"/>
      <c r="F360" s="3"/>
      <c r="G360" s="3"/>
      <c r="H360" s="3"/>
      <c r="I360" s="3"/>
      <c r="J360" s="39"/>
    </row>
    <row r="361" s="1" customFormat="1" spans="4:10">
      <c r="D361" s="2"/>
      <c r="E361" s="3"/>
      <c r="F361" s="3"/>
      <c r="G361" s="3"/>
      <c r="H361" s="3"/>
      <c r="I361" s="3"/>
      <c r="J361" s="39"/>
    </row>
    <row r="362" s="1" customFormat="1" spans="4:10">
      <c r="D362" s="2"/>
      <c r="E362" s="3"/>
      <c r="F362" s="3"/>
      <c r="G362" s="3"/>
      <c r="H362" s="3"/>
      <c r="I362" s="3"/>
      <c r="J362" s="39"/>
    </row>
    <row r="363" s="1" customFormat="1" spans="4:10">
      <c r="D363" s="2"/>
      <c r="E363" s="3"/>
      <c r="F363" s="3"/>
      <c r="G363" s="3"/>
      <c r="H363" s="3"/>
      <c r="I363" s="3"/>
      <c r="J363" s="39"/>
    </row>
    <row r="364" s="1" customFormat="1" spans="4:10">
      <c r="D364" s="2"/>
      <c r="E364" s="3"/>
      <c r="F364" s="3"/>
      <c r="G364" s="3"/>
      <c r="H364" s="3"/>
      <c r="I364" s="3"/>
      <c r="J364" s="39"/>
    </row>
    <row r="365" s="1" customFormat="1" spans="4:10">
      <c r="D365" s="2"/>
      <c r="E365" s="3"/>
      <c r="F365" s="3"/>
      <c r="G365" s="3"/>
      <c r="H365" s="3"/>
      <c r="I365" s="3"/>
      <c r="J365" s="39"/>
    </row>
    <row r="366" s="1" customFormat="1" spans="4:10">
      <c r="D366" s="2"/>
      <c r="E366" s="3"/>
      <c r="F366" s="3"/>
      <c r="G366" s="3"/>
      <c r="H366" s="3"/>
      <c r="I366" s="3"/>
      <c r="J366" s="39"/>
    </row>
    <row r="367" s="1" customFormat="1" spans="4:10">
      <c r="D367" s="2"/>
      <c r="E367" s="3"/>
      <c r="F367" s="3"/>
      <c r="G367" s="3"/>
      <c r="H367" s="3"/>
      <c r="I367" s="3"/>
      <c r="J367" s="39"/>
    </row>
    <row r="368" s="1" customFormat="1" spans="4:10">
      <c r="D368" s="2"/>
      <c r="E368" s="3"/>
      <c r="F368" s="3"/>
      <c r="G368" s="3"/>
      <c r="H368" s="3"/>
      <c r="I368" s="3"/>
      <c r="J368" s="39"/>
    </row>
    <row r="369" s="1" customFormat="1" spans="4:10">
      <c r="D369" s="2"/>
      <c r="E369" s="3"/>
      <c r="F369" s="3"/>
      <c r="G369" s="3"/>
      <c r="H369" s="3"/>
      <c r="I369" s="3"/>
      <c r="J369" s="39"/>
    </row>
    <row r="370" s="1" customFormat="1" spans="4:10">
      <c r="D370" s="2"/>
      <c r="E370" s="3"/>
      <c r="F370" s="3"/>
      <c r="G370" s="3"/>
      <c r="H370" s="3"/>
      <c r="I370" s="3"/>
      <c r="J370" s="39"/>
    </row>
    <row r="371" s="1" customFormat="1" spans="4:10">
      <c r="D371" s="2"/>
      <c r="E371" s="3"/>
      <c r="F371" s="3"/>
      <c r="G371" s="3"/>
      <c r="H371" s="3"/>
      <c r="I371" s="3"/>
      <c r="J371" s="39"/>
    </row>
    <row r="372" s="1" customFormat="1" spans="4:10">
      <c r="D372" s="2"/>
      <c r="E372" s="3"/>
      <c r="F372" s="3"/>
      <c r="G372" s="3"/>
      <c r="H372" s="3"/>
      <c r="I372" s="3"/>
      <c r="J372" s="39"/>
    </row>
    <row r="373" s="1" customFormat="1" spans="4:10">
      <c r="D373" s="2"/>
      <c r="E373" s="3"/>
      <c r="F373" s="3"/>
      <c r="G373" s="3"/>
      <c r="H373" s="3"/>
      <c r="I373" s="3"/>
      <c r="J373" s="39"/>
    </row>
    <row r="374" s="1" customFormat="1" spans="4:10">
      <c r="D374" s="2"/>
      <c r="E374" s="3"/>
      <c r="F374" s="3"/>
      <c r="G374" s="3"/>
      <c r="H374" s="3"/>
      <c r="I374" s="3"/>
      <c r="J374" s="39"/>
    </row>
    <row r="375" s="1" customFormat="1" spans="4:10">
      <c r="D375" s="2"/>
      <c r="E375" s="3"/>
      <c r="F375" s="3"/>
      <c r="G375" s="3"/>
      <c r="H375" s="3"/>
      <c r="I375" s="3"/>
      <c r="J375" s="39"/>
    </row>
    <row r="376" s="1" customFormat="1" spans="4:10">
      <c r="D376" s="2"/>
      <c r="E376" s="3"/>
      <c r="F376" s="3"/>
      <c r="G376" s="3"/>
      <c r="H376" s="3"/>
      <c r="I376" s="3"/>
      <c r="J376" s="39"/>
    </row>
    <row r="377" s="1" customFormat="1" spans="4:10">
      <c r="D377" s="2"/>
      <c r="E377" s="3"/>
      <c r="F377" s="3"/>
      <c r="G377" s="3"/>
      <c r="H377" s="3"/>
      <c r="I377" s="3"/>
      <c r="J377" s="39"/>
    </row>
    <row r="378" s="1" customFormat="1" spans="4:10">
      <c r="D378" s="2"/>
      <c r="E378" s="3"/>
      <c r="F378" s="3"/>
      <c r="G378" s="3"/>
      <c r="H378" s="3"/>
      <c r="I378" s="3"/>
      <c r="J378" s="39"/>
    </row>
    <row r="379" s="1" customFormat="1" spans="4:10">
      <c r="D379" s="2"/>
      <c r="E379" s="3"/>
      <c r="F379" s="3"/>
      <c r="G379" s="3"/>
      <c r="H379" s="3"/>
      <c r="I379" s="3"/>
      <c r="J379" s="39"/>
    </row>
    <row r="380" s="1" customFormat="1" spans="4:10">
      <c r="D380" s="2"/>
      <c r="E380" s="3"/>
      <c r="F380" s="3"/>
      <c r="G380" s="3"/>
      <c r="H380" s="3"/>
      <c r="I380" s="3"/>
      <c r="J380" s="39"/>
    </row>
    <row r="381" s="1" customFormat="1" spans="4:10">
      <c r="D381" s="2"/>
      <c r="E381" s="3"/>
      <c r="F381" s="3"/>
      <c r="G381" s="3"/>
      <c r="H381" s="3"/>
      <c r="I381" s="3"/>
      <c r="J381" s="39"/>
    </row>
    <row r="382" s="1" customFormat="1" spans="4:10">
      <c r="D382" s="2"/>
      <c r="E382" s="3"/>
      <c r="F382" s="3"/>
      <c r="G382" s="3"/>
      <c r="H382" s="3"/>
      <c r="I382" s="3"/>
      <c r="J382" s="39"/>
    </row>
    <row r="383" s="1" customFormat="1" spans="4:10">
      <c r="D383" s="2"/>
      <c r="E383" s="3"/>
      <c r="F383" s="3"/>
      <c r="G383" s="3"/>
      <c r="H383" s="3"/>
      <c r="I383" s="3"/>
      <c r="J383" s="39"/>
    </row>
    <row r="384" s="1" customFormat="1" spans="4:10">
      <c r="D384" s="2"/>
      <c r="E384" s="3"/>
      <c r="F384" s="3"/>
      <c r="G384" s="3"/>
      <c r="H384" s="3"/>
      <c r="I384" s="3"/>
      <c r="J384" s="39"/>
    </row>
    <row r="385" s="1" customFormat="1" spans="4:10">
      <c r="D385" s="2"/>
      <c r="E385" s="3"/>
      <c r="F385" s="3"/>
      <c r="G385" s="3"/>
      <c r="H385" s="3"/>
      <c r="I385" s="3"/>
      <c r="J385" s="39"/>
    </row>
    <row r="386" s="1" customFormat="1" spans="4:10">
      <c r="D386" s="2"/>
      <c r="E386" s="3"/>
      <c r="F386" s="3"/>
      <c r="G386" s="3"/>
      <c r="H386" s="3"/>
      <c r="I386" s="3"/>
      <c r="J386" s="39"/>
    </row>
    <row r="387" s="1" customFormat="1" spans="4:10">
      <c r="D387" s="2"/>
      <c r="E387" s="3"/>
      <c r="F387" s="3"/>
      <c r="G387" s="3"/>
      <c r="H387" s="3"/>
      <c r="I387" s="3"/>
      <c r="J387" s="39"/>
    </row>
    <row r="388" s="1" customFormat="1" spans="4:10">
      <c r="D388" s="2"/>
      <c r="E388" s="3"/>
      <c r="F388" s="3"/>
      <c r="G388" s="3"/>
      <c r="H388" s="3"/>
      <c r="I388" s="3"/>
      <c r="J388" s="39"/>
    </row>
    <row r="389" s="1" customFormat="1" spans="4:10">
      <c r="D389" s="2"/>
      <c r="E389" s="3"/>
      <c r="F389" s="3"/>
      <c r="G389" s="3"/>
      <c r="H389" s="3"/>
      <c r="I389" s="3"/>
      <c r="J389" s="39"/>
    </row>
    <row r="390" s="1" customFormat="1" spans="4:10">
      <c r="D390" s="2"/>
      <c r="E390" s="3"/>
      <c r="F390" s="3"/>
      <c r="G390" s="3"/>
      <c r="H390" s="3"/>
      <c r="I390" s="3"/>
      <c r="J390" s="39"/>
    </row>
    <row r="391" s="1" customFormat="1" spans="4:10">
      <c r="D391" s="2"/>
      <c r="E391" s="3"/>
      <c r="F391" s="3"/>
      <c r="G391" s="3"/>
      <c r="H391" s="3"/>
      <c r="I391" s="3"/>
      <c r="J391" s="39"/>
    </row>
    <row r="392" s="1" customFormat="1" spans="4:10">
      <c r="D392" s="2"/>
      <c r="E392" s="3"/>
      <c r="F392" s="3"/>
      <c r="G392" s="3"/>
      <c r="H392" s="3"/>
      <c r="I392" s="3"/>
      <c r="J392" s="39"/>
    </row>
    <row r="393" s="1" customFormat="1" spans="4:10">
      <c r="D393" s="2"/>
      <c r="E393" s="3"/>
      <c r="F393" s="3"/>
      <c r="G393" s="3"/>
      <c r="H393" s="3"/>
      <c r="I393" s="3"/>
      <c r="J393" s="39"/>
    </row>
    <row r="394" s="1" customFormat="1" spans="4:10">
      <c r="D394" s="2"/>
      <c r="E394" s="3"/>
      <c r="F394" s="3"/>
      <c r="G394" s="3"/>
      <c r="H394" s="3"/>
      <c r="I394" s="3"/>
      <c r="J394" s="39"/>
    </row>
    <row r="395" s="1" customFormat="1" spans="4:10">
      <c r="D395" s="2"/>
      <c r="E395" s="3"/>
      <c r="F395" s="3"/>
      <c r="G395" s="3"/>
      <c r="H395" s="3"/>
      <c r="I395" s="3"/>
      <c r="J395" s="39"/>
    </row>
    <row r="396" s="1" customFormat="1" spans="4:10">
      <c r="D396" s="2"/>
      <c r="E396" s="3"/>
      <c r="F396" s="3"/>
      <c r="G396" s="3"/>
      <c r="H396" s="3"/>
      <c r="I396" s="3"/>
      <c r="J396" s="39"/>
    </row>
    <row r="397" s="1" customFormat="1" spans="4:10">
      <c r="D397" s="2"/>
      <c r="E397" s="3"/>
      <c r="F397" s="3"/>
      <c r="G397" s="3"/>
      <c r="H397" s="3"/>
      <c r="I397" s="3"/>
      <c r="J397" s="39"/>
    </row>
    <row r="398" s="1" customFormat="1" spans="4:10">
      <c r="D398" s="2"/>
      <c r="E398" s="3"/>
      <c r="F398" s="3"/>
      <c r="G398" s="3"/>
      <c r="H398" s="3"/>
      <c r="I398" s="3"/>
      <c r="J398" s="39"/>
    </row>
    <row r="399" s="1" customFormat="1" spans="4:10">
      <c r="D399" s="2"/>
      <c r="E399" s="3"/>
      <c r="F399" s="3"/>
      <c r="G399" s="3"/>
      <c r="H399" s="3"/>
      <c r="I399" s="3"/>
      <c r="J399" s="39"/>
    </row>
    <row r="400" s="1" customFormat="1" spans="4:10">
      <c r="D400" s="2"/>
      <c r="E400" s="3"/>
      <c r="F400" s="3"/>
      <c r="G400" s="3"/>
      <c r="H400" s="3"/>
      <c r="I400" s="3"/>
      <c r="J400" s="39"/>
    </row>
    <row r="401" s="1" customFormat="1" spans="4:10">
      <c r="D401" s="2"/>
      <c r="E401" s="3"/>
      <c r="F401" s="3"/>
      <c r="G401" s="3"/>
      <c r="H401" s="3"/>
      <c r="I401" s="3"/>
      <c r="J401" s="39"/>
    </row>
    <row r="402" s="1" customFormat="1" spans="4:10">
      <c r="D402" s="2"/>
      <c r="E402" s="3"/>
      <c r="F402" s="3"/>
      <c r="G402" s="3"/>
      <c r="H402" s="3"/>
      <c r="I402" s="3"/>
      <c r="J402" s="39"/>
    </row>
    <row r="403" s="1" customFormat="1" spans="4:10">
      <c r="D403" s="2"/>
      <c r="E403" s="3"/>
      <c r="F403" s="3"/>
      <c r="G403" s="3"/>
      <c r="H403" s="3"/>
      <c r="I403" s="3"/>
      <c r="J403" s="39"/>
    </row>
    <row r="404" s="1" customFormat="1" spans="4:10">
      <c r="D404" s="2"/>
      <c r="E404" s="3"/>
      <c r="F404" s="3"/>
      <c r="G404" s="3"/>
      <c r="H404" s="3"/>
      <c r="I404" s="3"/>
      <c r="J404" s="39"/>
    </row>
    <row r="405" s="1" customFormat="1" spans="4:10">
      <c r="D405" s="2"/>
      <c r="E405" s="3"/>
      <c r="F405" s="3"/>
      <c r="G405" s="3"/>
      <c r="H405" s="3"/>
      <c r="I405" s="3"/>
      <c r="J405" s="39"/>
    </row>
    <row r="406" s="1" customFormat="1" spans="4:10">
      <c r="D406" s="2"/>
      <c r="E406" s="3"/>
      <c r="F406" s="3"/>
      <c r="G406" s="3"/>
      <c r="H406" s="3"/>
      <c r="I406" s="3"/>
      <c r="J406" s="39"/>
    </row>
    <row r="407" s="1" customFormat="1" spans="4:10">
      <c r="D407" s="2"/>
      <c r="E407" s="3"/>
      <c r="F407" s="3"/>
      <c r="G407" s="3"/>
      <c r="H407" s="3"/>
      <c r="I407" s="3"/>
      <c r="J407" s="39"/>
    </row>
    <row r="408" s="1" customFormat="1" spans="4:10">
      <c r="D408" s="2"/>
      <c r="E408" s="3"/>
      <c r="F408" s="3"/>
      <c r="G408" s="3"/>
      <c r="H408" s="3"/>
      <c r="I408" s="3"/>
      <c r="J408" s="39"/>
    </row>
    <row r="409" s="1" customFormat="1" spans="4:10">
      <c r="D409" s="2"/>
      <c r="E409" s="3"/>
      <c r="F409" s="3"/>
      <c r="G409" s="3"/>
      <c r="H409" s="3"/>
      <c r="I409" s="3"/>
      <c r="J409" s="39"/>
    </row>
    <row r="410" s="1" customFormat="1" spans="4:10">
      <c r="D410" s="2"/>
      <c r="E410" s="3"/>
      <c r="F410" s="3"/>
      <c r="G410" s="3"/>
      <c r="H410" s="3"/>
      <c r="I410" s="3"/>
      <c r="J410" s="39"/>
    </row>
    <row r="411" s="1" customFormat="1" spans="4:10">
      <c r="D411" s="2"/>
      <c r="E411" s="3"/>
      <c r="F411" s="3"/>
      <c r="G411" s="3"/>
      <c r="H411" s="3"/>
      <c r="I411" s="3"/>
      <c r="J411" s="39"/>
    </row>
    <row r="412" s="1" customFormat="1" spans="4:10">
      <c r="D412" s="2"/>
      <c r="E412" s="3"/>
      <c r="F412" s="3"/>
      <c r="G412" s="3"/>
      <c r="H412" s="3"/>
      <c r="I412" s="3"/>
      <c r="J412" s="39"/>
    </row>
    <row r="413" s="1" customFormat="1" spans="4:10">
      <c r="D413" s="2"/>
      <c r="E413" s="3"/>
      <c r="F413" s="3"/>
      <c r="G413" s="3"/>
      <c r="H413" s="3"/>
      <c r="I413" s="3"/>
      <c r="J413" s="39"/>
    </row>
    <row r="414" s="1" customFormat="1" spans="4:10">
      <c r="D414" s="2"/>
      <c r="E414" s="3"/>
      <c r="F414" s="3"/>
      <c r="G414" s="3"/>
      <c r="H414" s="3"/>
      <c r="I414" s="3"/>
      <c r="J414" s="39"/>
    </row>
    <row r="415" s="1" customFormat="1" spans="4:10">
      <c r="D415" s="2"/>
      <c r="E415" s="3"/>
      <c r="F415" s="3"/>
      <c r="G415" s="3"/>
      <c r="H415" s="3"/>
      <c r="I415" s="3"/>
      <c r="J415" s="39"/>
    </row>
    <row r="416" s="1" customFormat="1" spans="4:10">
      <c r="D416" s="2"/>
      <c r="E416" s="3"/>
      <c r="F416" s="3"/>
      <c r="G416" s="3"/>
      <c r="H416" s="3"/>
      <c r="I416" s="3"/>
      <c r="J416" s="39"/>
    </row>
    <row r="417" s="1" customFormat="1" spans="4:10">
      <c r="D417" s="2"/>
      <c r="E417" s="3"/>
      <c r="F417" s="3"/>
      <c r="G417" s="3"/>
      <c r="H417" s="3"/>
      <c r="I417" s="3"/>
      <c r="J417" s="39"/>
    </row>
    <row r="418" s="1" customFormat="1" spans="4:10">
      <c r="D418" s="2"/>
      <c r="E418" s="3"/>
      <c r="F418" s="3"/>
      <c r="G418" s="3"/>
      <c r="H418" s="3"/>
      <c r="I418" s="3"/>
      <c r="J418" s="39"/>
    </row>
    <row r="419" s="1" customFormat="1" spans="4:10">
      <c r="D419" s="2"/>
      <c r="E419" s="3"/>
      <c r="F419" s="3"/>
      <c r="G419" s="3"/>
      <c r="H419" s="3"/>
      <c r="I419" s="3"/>
      <c r="J419" s="39"/>
    </row>
    <row r="420" s="1" customFormat="1" spans="4:10">
      <c r="D420" s="2"/>
      <c r="E420" s="3"/>
      <c r="F420" s="3"/>
      <c r="G420" s="3"/>
      <c r="H420" s="3"/>
      <c r="I420" s="3"/>
      <c r="J420" s="39"/>
    </row>
    <row r="421" s="1" customFormat="1" spans="4:10">
      <c r="D421" s="2"/>
      <c r="E421" s="3"/>
      <c r="F421" s="3"/>
      <c r="G421" s="3"/>
      <c r="H421" s="3"/>
      <c r="I421" s="3"/>
      <c r="J421" s="39"/>
    </row>
    <row r="422" s="1" customFormat="1" spans="4:10">
      <c r="D422" s="2"/>
      <c r="E422" s="3"/>
      <c r="F422" s="3"/>
      <c r="G422" s="3"/>
      <c r="H422" s="3"/>
      <c r="I422" s="3"/>
      <c r="J422" s="39"/>
    </row>
    <row r="423" s="1" customFormat="1" spans="4:10">
      <c r="D423" s="2"/>
      <c r="E423" s="3"/>
      <c r="F423" s="3"/>
      <c r="G423" s="3"/>
      <c r="H423" s="3"/>
      <c r="I423" s="3"/>
      <c r="J423" s="39"/>
    </row>
    <row r="424" s="1" customFormat="1" spans="4:10">
      <c r="D424" s="2"/>
      <c r="E424" s="3"/>
      <c r="F424" s="3"/>
      <c r="G424" s="3"/>
      <c r="H424" s="3"/>
      <c r="I424" s="3"/>
      <c r="J424" s="39"/>
    </row>
    <row r="425" s="1" customFormat="1" spans="4:10">
      <c r="D425" s="2"/>
      <c r="E425" s="3"/>
      <c r="F425" s="3"/>
      <c r="G425" s="3"/>
      <c r="H425" s="3"/>
      <c r="I425" s="3"/>
      <c r="J425" s="39"/>
    </row>
    <row r="426" s="1" customFormat="1" spans="4:10">
      <c r="D426" s="2"/>
      <c r="E426" s="3"/>
      <c r="F426" s="3"/>
      <c r="G426" s="3"/>
      <c r="H426" s="3"/>
      <c r="I426" s="3"/>
      <c r="J426" s="39"/>
    </row>
    <row r="427" s="1" customFormat="1" spans="4:10">
      <c r="D427" s="2"/>
      <c r="E427" s="3"/>
      <c r="F427" s="3"/>
      <c r="G427" s="3"/>
      <c r="H427" s="3"/>
      <c r="I427" s="3"/>
      <c r="J427" s="39"/>
    </row>
    <row r="428" s="1" customFormat="1" spans="4:10">
      <c r="D428" s="2"/>
      <c r="E428" s="3"/>
      <c r="F428" s="3"/>
      <c r="G428" s="3"/>
      <c r="H428" s="3"/>
      <c r="I428" s="3"/>
      <c r="J428" s="39"/>
    </row>
    <row r="429" s="1" customFormat="1" spans="4:10">
      <c r="D429" s="2"/>
      <c r="E429" s="3"/>
      <c r="F429" s="3"/>
      <c r="G429" s="3"/>
      <c r="H429" s="3"/>
      <c r="I429" s="3"/>
      <c r="J429" s="39"/>
    </row>
    <row r="430" s="1" customFormat="1" spans="4:10">
      <c r="D430" s="2"/>
      <c r="E430" s="3"/>
      <c r="F430" s="3"/>
      <c r="G430" s="3"/>
      <c r="H430" s="3"/>
      <c r="I430" s="3"/>
      <c r="J430" s="39"/>
    </row>
    <row r="431" s="1" customFormat="1" spans="4:10">
      <c r="D431" s="2"/>
      <c r="E431" s="3"/>
      <c r="F431" s="3"/>
      <c r="G431" s="3"/>
      <c r="H431" s="3"/>
      <c r="I431" s="3"/>
      <c r="J431" s="39"/>
    </row>
    <row r="432" s="1" customFormat="1" spans="4:10">
      <c r="D432" s="2"/>
      <c r="E432" s="3"/>
      <c r="F432" s="3"/>
      <c r="G432" s="3"/>
      <c r="H432" s="3"/>
      <c r="I432" s="3"/>
      <c r="J432" s="39"/>
    </row>
    <row r="433" s="1" customFormat="1" spans="4:10">
      <c r="D433" s="2"/>
      <c r="E433" s="3"/>
      <c r="F433" s="3"/>
      <c r="G433" s="3"/>
      <c r="H433" s="3"/>
      <c r="I433" s="3"/>
      <c r="J433" s="39"/>
    </row>
    <row r="434" s="1" customFormat="1" spans="4:10">
      <c r="D434" s="2"/>
      <c r="E434" s="3"/>
      <c r="F434" s="3"/>
      <c r="G434" s="3"/>
      <c r="H434" s="3"/>
      <c r="I434" s="3"/>
      <c r="J434" s="39"/>
    </row>
    <row r="435" s="1" customFormat="1" spans="4:10">
      <c r="D435" s="2"/>
      <c r="E435" s="3"/>
      <c r="F435" s="3"/>
      <c r="G435" s="3"/>
      <c r="H435" s="3"/>
      <c r="I435" s="3"/>
      <c r="J435" s="39"/>
    </row>
    <row r="436" s="1" customFormat="1" spans="4:10">
      <c r="D436" s="2"/>
      <c r="E436" s="3"/>
      <c r="F436" s="3"/>
      <c r="G436" s="3"/>
      <c r="H436" s="3"/>
      <c r="I436" s="3"/>
      <c r="J436" s="39"/>
    </row>
    <row r="437" s="1" customFormat="1" spans="4:10">
      <c r="D437" s="2"/>
      <c r="E437" s="3"/>
      <c r="F437" s="3"/>
      <c r="G437" s="3"/>
      <c r="H437" s="3"/>
      <c r="I437" s="3"/>
      <c r="J437" s="39"/>
    </row>
    <row r="438" s="1" customFormat="1" spans="4:10">
      <c r="D438" s="2"/>
      <c r="E438" s="3"/>
      <c r="F438" s="3"/>
      <c r="G438" s="3"/>
      <c r="H438" s="3"/>
      <c r="I438" s="3"/>
      <c r="J438" s="39"/>
    </row>
    <row r="439" s="1" customFormat="1" spans="4:10">
      <c r="D439" s="2"/>
      <c r="E439" s="3"/>
      <c r="F439" s="3"/>
      <c r="G439" s="3"/>
      <c r="H439" s="3"/>
      <c r="I439" s="3"/>
      <c r="J439" s="39"/>
    </row>
    <row r="440" s="1" customFormat="1" spans="4:10">
      <c r="D440" s="2"/>
      <c r="E440" s="3"/>
      <c r="F440" s="3"/>
      <c r="G440" s="3"/>
      <c r="H440" s="3"/>
      <c r="I440" s="3"/>
      <c r="J440" s="39"/>
    </row>
    <row r="441" s="1" customFormat="1" spans="4:10">
      <c r="D441" s="2"/>
      <c r="E441" s="3"/>
      <c r="F441" s="3"/>
      <c r="G441" s="3"/>
      <c r="H441" s="3"/>
      <c r="I441" s="3"/>
      <c r="J441" s="39"/>
    </row>
    <row r="442" s="1" customFormat="1" spans="4:10">
      <c r="D442" s="2"/>
      <c r="E442" s="3"/>
      <c r="F442" s="3"/>
      <c r="G442" s="3"/>
      <c r="H442" s="3"/>
      <c r="I442" s="3"/>
      <c r="J442" s="39"/>
    </row>
    <row r="443" s="1" customFormat="1" spans="4:10">
      <c r="D443" s="2"/>
      <c r="E443" s="3"/>
      <c r="F443" s="3"/>
      <c r="G443" s="3"/>
      <c r="H443" s="3"/>
      <c r="I443" s="3"/>
      <c r="J443" s="39"/>
    </row>
    <row r="444" s="1" customFormat="1" spans="4:10">
      <c r="D444" s="2"/>
      <c r="E444" s="3"/>
      <c r="F444" s="3"/>
      <c r="G444" s="3"/>
      <c r="H444" s="3"/>
      <c r="I444" s="3"/>
      <c r="J444" s="39"/>
    </row>
    <row r="445" s="1" customFormat="1" spans="4:10">
      <c r="D445" s="2"/>
      <c r="E445" s="3"/>
      <c r="F445" s="3"/>
      <c r="G445" s="3"/>
      <c r="H445" s="3"/>
      <c r="I445" s="3"/>
      <c r="J445" s="39"/>
    </row>
    <row r="446" s="1" customFormat="1" spans="4:10">
      <c r="D446" s="2"/>
      <c r="E446" s="3"/>
      <c r="F446" s="3"/>
      <c r="G446" s="3"/>
      <c r="H446" s="3"/>
      <c r="I446" s="3"/>
      <c r="J446" s="39"/>
    </row>
    <row r="447" s="1" customFormat="1" spans="4:10">
      <c r="D447" s="2"/>
      <c r="E447" s="3"/>
      <c r="F447" s="3"/>
      <c r="G447" s="3"/>
      <c r="H447" s="3"/>
      <c r="I447" s="3"/>
      <c r="J447" s="39"/>
    </row>
    <row r="448" s="1" customFormat="1" spans="4:10">
      <c r="D448" s="2"/>
      <c r="E448" s="3"/>
      <c r="F448" s="3"/>
      <c r="G448" s="3"/>
      <c r="H448" s="3"/>
      <c r="I448" s="3"/>
      <c r="J448" s="39"/>
    </row>
    <row r="449" s="1" customFormat="1" spans="4:10">
      <c r="D449" s="2"/>
      <c r="E449" s="3"/>
      <c r="F449" s="3"/>
      <c r="G449" s="3"/>
      <c r="H449" s="3"/>
      <c r="I449" s="3"/>
      <c r="J449" s="39"/>
    </row>
    <row r="450" s="1" customFormat="1" spans="4:10">
      <c r="D450" s="2"/>
      <c r="E450" s="3"/>
      <c r="F450" s="3"/>
      <c r="G450" s="3"/>
      <c r="H450" s="3"/>
      <c r="I450" s="3"/>
      <c r="J450" s="39"/>
    </row>
    <row r="451" s="1" customFormat="1" spans="4:10">
      <c r="D451" s="2"/>
      <c r="E451" s="3"/>
      <c r="F451" s="3"/>
      <c r="G451" s="3"/>
      <c r="H451" s="3"/>
      <c r="I451" s="3"/>
      <c r="J451" s="39"/>
    </row>
    <row r="452" s="1" customFormat="1" spans="4:10">
      <c r="D452" s="2"/>
      <c r="E452" s="3"/>
      <c r="F452" s="3"/>
      <c r="G452" s="3"/>
      <c r="H452" s="3"/>
      <c r="I452" s="3"/>
      <c r="J452" s="39"/>
    </row>
    <row r="453" s="1" customFormat="1" spans="4:10">
      <c r="D453" s="2"/>
      <c r="E453" s="3"/>
      <c r="F453" s="3"/>
      <c r="G453" s="3"/>
      <c r="H453" s="3"/>
      <c r="I453" s="3"/>
      <c r="J453" s="39"/>
    </row>
    <row r="454" s="1" customFormat="1" spans="4:10">
      <c r="D454" s="2"/>
      <c r="E454" s="3"/>
      <c r="F454" s="3"/>
      <c r="G454" s="3"/>
      <c r="H454" s="3"/>
      <c r="I454" s="3"/>
      <c r="J454" s="39"/>
    </row>
    <row r="455" s="1" customFormat="1" spans="4:10">
      <c r="D455" s="2"/>
      <c r="E455" s="3"/>
      <c r="F455" s="3"/>
      <c r="G455" s="3"/>
      <c r="H455" s="3"/>
      <c r="I455" s="3"/>
      <c r="J455" s="39"/>
    </row>
    <row r="456" s="1" customFormat="1" spans="4:10">
      <c r="D456" s="2"/>
      <c r="E456" s="3"/>
      <c r="F456" s="3"/>
      <c r="G456" s="3"/>
      <c r="H456" s="3"/>
      <c r="I456" s="3"/>
      <c r="J456" s="39"/>
    </row>
    <row r="457" s="1" customFormat="1" spans="4:10">
      <c r="D457" s="2"/>
      <c r="E457" s="3"/>
      <c r="F457" s="3"/>
      <c r="G457" s="3"/>
      <c r="H457" s="3"/>
      <c r="I457" s="3"/>
      <c r="J457" s="39"/>
    </row>
    <row r="458" s="1" customFormat="1" spans="4:10">
      <c r="D458" s="2"/>
      <c r="E458" s="3"/>
      <c r="F458" s="3"/>
      <c r="G458" s="3"/>
      <c r="H458" s="3"/>
      <c r="I458" s="3"/>
      <c r="J458" s="39"/>
    </row>
    <row r="459" s="1" customFormat="1" spans="4:10">
      <c r="D459" s="2"/>
      <c r="E459" s="3"/>
      <c r="F459" s="3"/>
      <c r="G459" s="3"/>
      <c r="H459" s="3"/>
      <c r="I459" s="3"/>
      <c r="J459" s="39"/>
    </row>
    <row r="460" s="1" customFormat="1" spans="4:10">
      <c r="D460" s="2"/>
      <c r="E460" s="3"/>
      <c r="F460" s="3"/>
      <c r="G460" s="3"/>
      <c r="H460" s="3"/>
      <c r="I460" s="3"/>
      <c r="J460" s="39"/>
    </row>
    <row r="461" s="1" customFormat="1" spans="4:10">
      <c r="D461" s="2"/>
      <c r="E461" s="3"/>
      <c r="F461" s="3"/>
      <c r="G461" s="3"/>
      <c r="H461" s="3"/>
      <c r="I461" s="3"/>
      <c r="J461" s="39"/>
    </row>
    <row r="462" s="1" customFormat="1" spans="4:10">
      <c r="D462" s="2"/>
      <c r="E462" s="3"/>
      <c r="F462" s="3"/>
      <c r="G462" s="3"/>
      <c r="H462" s="3"/>
      <c r="I462" s="3"/>
      <c r="J462" s="39"/>
    </row>
    <row r="463" s="1" customFormat="1" spans="4:10">
      <c r="D463" s="2"/>
      <c r="E463" s="3"/>
      <c r="F463" s="3"/>
      <c r="G463" s="3"/>
      <c r="H463" s="3"/>
      <c r="I463" s="3"/>
      <c r="J463" s="39"/>
    </row>
    <row r="464" s="1" customFormat="1" spans="4:10">
      <c r="D464" s="2"/>
      <c r="E464" s="3"/>
      <c r="F464" s="3"/>
      <c r="G464" s="3"/>
      <c r="H464" s="3"/>
      <c r="I464" s="3"/>
      <c r="J464" s="39"/>
    </row>
    <row r="465" s="1" customFormat="1" spans="4:10">
      <c r="D465" s="2"/>
      <c r="E465" s="3"/>
      <c r="F465" s="3"/>
      <c r="G465" s="3"/>
      <c r="H465" s="3"/>
      <c r="I465" s="3"/>
      <c r="J465" s="39"/>
    </row>
    <row r="466" s="1" customFormat="1" spans="4:10">
      <c r="D466" s="2"/>
      <c r="E466" s="3"/>
      <c r="F466" s="3"/>
      <c r="G466" s="3"/>
      <c r="H466" s="3"/>
      <c r="I466" s="3"/>
      <c r="J466" s="39"/>
    </row>
    <row r="467" s="1" customFormat="1" spans="4:10">
      <c r="D467" s="2"/>
      <c r="E467" s="3"/>
      <c r="F467" s="3"/>
      <c r="G467" s="3"/>
      <c r="H467" s="3"/>
      <c r="I467" s="3"/>
      <c r="J467" s="39"/>
    </row>
    <row r="468" s="1" customFormat="1" spans="4:10">
      <c r="D468" s="2"/>
      <c r="E468" s="3"/>
      <c r="F468" s="3"/>
      <c r="G468" s="3"/>
      <c r="H468" s="3"/>
      <c r="I468" s="3"/>
      <c r="J468" s="39"/>
    </row>
    <row r="469" s="1" customFormat="1" spans="4:10">
      <c r="D469" s="2"/>
      <c r="E469" s="3"/>
      <c r="F469" s="3"/>
      <c r="G469" s="3"/>
      <c r="H469" s="3"/>
      <c r="I469" s="3"/>
      <c r="J469" s="39"/>
    </row>
    <row r="470" s="1" customFormat="1" spans="4:10">
      <c r="D470" s="2"/>
      <c r="E470" s="3"/>
      <c r="F470" s="3"/>
      <c r="G470" s="3"/>
      <c r="H470" s="3"/>
      <c r="I470" s="3"/>
      <c r="J470" s="39"/>
    </row>
    <row r="471" s="1" customFormat="1" spans="4:10">
      <c r="D471" s="2"/>
      <c r="E471" s="3"/>
      <c r="F471" s="3"/>
      <c r="G471" s="3"/>
      <c r="H471" s="3"/>
      <c r="I471" s="3"/>
      <c r="J471" s="39"/>
    </row>
    <row r="472" s="1" customFormat="1" spans="4:10">
      <c r="D472" s="2"/>
      <c r="E472" s="3"/>
      <c r="F472" s="3"/>
      <c r="G472" s="3"/>
      <c r="H472" s="3"/>
      <c r="I472" s="3"/>
      <c r="J472" s="39"/>
    </row>
    <row r="473" s="1" customFormat="1" spans="4:10">
      <c r="D473" s="2"/>
      <c r="E473" s="3"/>
      <c r="F473" s="3"/>
      <c r="G473" s="3"/>
      <c r="H473" s="3"/>
      <c r="I473" s="3"/>
      <c r="J473" s="39"/>
    </row>
    <row r="474" s="1" customFormat="1" spans="4:10">
      <c r="D474" s="2"/>
      <c r="E474" s="3"/>
      <c r="F474" s="3"/>
      <c r="G474" s="3"/>
      <c r="H474" s="3"/>
      <c r="I474" s="3"/>
      <c r="J474" s="39"/>
    </row>
    <row r="475" s="1" customFormat="1" spans="4:10">
      <c r="D475" s="2"/>
      <c r="E475" s="3"/>
      <c r="F475" s="3"/>
      <c r="G475" s="3"/>
      <c r="H475" s="3"/>
      <c r="I475" s="3"/>
      <c r="J475" s="39"/>
    </row>
    <row r="476" s="1" customFormat="1" spans="4:10">
      <c r="D476" s="2"/>
      <c r="E476" s="3"/>
      <c r="F476" s="3"/>
      <c r="G476" s="3"/>
      <c r="H476" s="3"/>
      <c r="I476" s="3"/>
      <c r="J476" s="39"/>
    </row>
    <row r="477" s="1" customFormat="1" spans="4:10">
      <c r="D477" s="2"/>
      <c r="E477" s="3"/>
      <c r="F477" s="3"/>
      <c r="G477" s="3"/>
      <c r="H477" s="3"/>
      <c r="I477" s="3"/>
      <c r="J477" s="39"/>
    </row>
    <row r="478" s="1" customFormat="1" spans="4:10">
      <c r="D478" s="2"/>
      <c r="E478" s="3"/>
      <c r="F478" s="3"/>
      <c r="G478" s="3"/>
      <c r="H478" s="3"/>
      <c r="I478" s="3"/>
      <c r="J478" s="39"/>
    </row>
    <row r="479" s="1" customFormat="1" spans="4:10">
      <c r="D479" s="2"/>
      <c r="E479" s="3"/>
      <c r="F479" s="3"/>
      <c r="G479" s="3"/>
      <c r="H479" s="3"/>
      <c r="I479" s="3"/>
      <c r="J479" s="39"/>
    </row>
    <row r="480" s="1" customFormat="1" spans="4:10">
      <c r="D480" s="2"/>
      <c r="E480" s="3"/>
      <c r="F480" s="3"/>
      <c r="G480" s="3"/>
      <c r="H480" s="3"/>
      <c r="I480" s="3"/>
      <c r="J480" s="39"/>
    </row>
    <row r="481" s="1" customFormat="1" spans="4:10">
      <c r="D481" s="2"/>
      <c r="E481" s="3"/>
      <c r="F481" s="3"/>
      <c r="G481" s="3"/>
      <c r="H481" s="3"/>
      <c r="I481" s="3"/>
      <c r="J481" s="39"/>
    </row>
    <row r="482" s="1" customFormat="1" spans="4:10">
      <c r="D482" s="2"/>
      <c r="E482" s="3"/>
      <c r="F482" s="3"/>
      <c r="G482" s="3"/>
      <c r="H482" s="3"/>
      <c r="I482" s="3"/>
      <c r="J482" s="39"/>
    </row>
    <row r="483" s="1" customFormat="1" spans="4:10">
      <c r="D483" s="2"/>
      <c r="E483" s="3"/>
      <c r="F483" s="3"/>
      <c r="G483" s="3"/>
      <c r="H483" s="3"/>
      <c r="I483" s="3"/>
      <c r="J483" s="39"/>
    </row>
    <row r="484" s="1" customFormat="1" spans="4:10">
      <c r="D484" s="2"/>
      <c r="E484" s="3"/>
      <c r="F484" s="3"/>
      <c r="G484" s="3"/>
      <c r="H484" s="3"/>
      <c r="I484" s="3"/>
      <c r="J484" s="39"/>
    </row>
    <row r="485" s="1" customFormat="1" spans="4:10">
      <c r="D485" s="2"/>
      <c r="E485" s="3"/>
      <c r="F485" s="3"/>
      <c r="G485" s="3"/>
      <c r="H485" s="3"/>
      <c r="I485" s="3"/>
      <c r="J485" s="39"/>
    </row>
    <row r="486" s="1" customFormat="1" spans="4:10">
      <c r="D486" s="2"/>
      <c r="E486" s="3"/>
      <c r="F486" s="3"/>
      <c r="G486" s="3"/>
      <c r="H486" s="3"/>
      <c r="I486" s="3"/>
      <c r="J486" s="39"/>
    </row>
    <row r="487" s="1" customFormat="1" spans="4:10">
      <c r="D487" s="2"/>
      <c r="E487" s="3"/>
      <c r="F487" s="3"/>
      <c r="G487" s="3"/>
      <c r="H487" s="3"/>
      <c r="I487" s="3"/>
      <c r="J487" s="39"/>
    </row>
    <row r="488" s="1" customFormat="1" spans="4:10">
      <c r="D488" s="2"/>
      <c r="E488" s="3"/>
      <c r="F488" s="3"/>
      <c r="G488" s="3"/>
      <c r="H488" s="3"/>
      <c r="I488" s="3"/>
      <c r="J488" s="39"/>
    </row>
    <row r="489" s="1" customFormat="1" spans="4:10">
      <c r="D489" s="2"/>
      <c r="E489" s="3"/>
      <c r="F489" s="3"/>
      <c r="G489" s="3"/>
      <c r="H489" s="3"/>
      <c r="I489" s="3"/>
      <c r="J489" s="39"/>
    </row>
    <row r="490" s="1" customFormat="1" spans="4:10">
      <c r="D490" s="2"/>
      <c r="E490" s="3"/>
      <c r="F490" s="3"/>
      <c r="G490" s="3"/>
      <c r="H490" s="3"/>
      <c r="I490" s="3"/>
      <c r="J490" s="39"/>
    </row>
    <row r="491" s="1" customFormat="1" spans="4:10">
      <c r="D491" s="2"/>
      <c r="E491" s="3"/>
      <c r="F491" s="3"/>
      <c r="G491" s="3"/>
      <c r="H491" s="3"/>
      <c r="I491" s="3"/>
      <c r="J491" s="39"/>
    </row>
    <row r="492" s="1" customFormat="1" spans="4:10">
      <c r="D492" s="2"/>
      <c r="E492" s="3"/>
      <c r="F492" s="3"/>
      <c r="G492" s="3"/>
      <c r="H492" s="3"/>
      <c r="I492" s="3"/>
      <c r="J492" s="39"/>
    </row>
    <row r="493" s="1" customFormat="1" spans="4:10">
      <c r="D493" s="2"/>
      <c r="E493" s="3"/>
      <c r="F493" s="3"/>
      <c r="G493" s="3"/>
      <c r="H493" s="3"/>
      <c r="I493" s="3"/>
      <c r="J493" s="39"/>
    </row>
    <row r="494" s="1" customFormat="1" spans="4:10">
      <c r="D494" s="2"/>
      <c r="E494" s="3"/>
      <c r="F494" s="3"/>
      <c r="G494" s="3"/>
      <c r="H494" s="3"/>
      <c r="I494" s="3"/>
      <c r="J494" s="39"/>
    </row>
    <row r="495" s="1" customFormat="1" spans="4:10">
      <c r="D495" s="2"/>
      <c r="E495" s="3"/>
      <c r="F495" s="3"/>
      <c r="G495" s="3"/>
      <c r="H495" s="3"/>
      <c r="I495" s="3"/>
      <c r="J495" s="39"/>
    </row>
    <row r="496" s="1" customFormat="1" spans="4:10">
      <c r="D496" s="2"/>
      <c r="E496" s="3"/>
      <c r="F496" s="3"/>
      <c r="G496" s="3"/>
      <c r="H496" s="3"/>
      <c r="I496" s="3"/>
      <c r="J496" s="39"/>
    </row>
    <row r="497" s="1" customFormat="1" spans="4:10">
      <c r="D497" s="2"/>
      <c r="E497" s="3"/>
      <c r="F497" s="3"/>
      <c r="G497" s="3"/>
      <c r="H497" s="3"/>
      <c r="I497" s="3"/>
      <c r="J497" s="39"/>
    </row>
    <row r="498" s="1" customFormat="1" spans="4:10">
      <c r="D498" s="2"/>
      <c r="E498" s="3"/>
      <c r="F498" s="3"/>
      <c r="G498" s="3"/>
      <c r="H498" s="3"/>
      <c r="I498" s="3"/>
      <c r="J498" s="39"/>
    </row>
    <row r="499" s="1" customFormat="1" spans="4:10">
      <c r="D499" s="2"/>
      <c r="E499" s="3"/>
      <c r="F499" s="3"/>
      <c r="G499" s="3"/>
      <c r="H499" s="3"/>
      <c r="I499" s="3"/>
      <c r="J499" s="39"/>
    </row>
    <row r="500" s="1" customFormat="1" spans="4:10">
      <c r="D500" s="2"/>
      <c r="E500" s="3"/>
      <c r="F500" s="3"/>
      <c r="G500" s="3"/>
      <c r="H500" s="3"/>
      <c r="I500" s="3"/>
      <c r="J500" s="39"/>
    </row>
    <row r="501" s="1" customFormat="1" spans="4:10">
      <c r="D501" s="2"/>
      <c r="E501" s="3"/>
      <c r="F501" s="3"/>
      <c r="G501" s="3"/>
      <c r="H501" s="3"/>
      <c r="I501" s="3"/>
      <c r="J501" s="39"/>
    </row>
    <row r="502" s="1" customFormat="1" spans="4:10">
      <c r="D502" s="2"/>
      <c r="E502" s="3"/>
      <c r="F502" s="3"/>
      <c r="G502" s="3"/>
      <c r="H502" s="3"/>
      <c r="I502" s="3"/>
      <c r="J502" s="39"/>
    </row>
    <row r="503" s="1" customFormat="1" spans="4:10">
      <c r="D503" s="2"/>
      <c r="E503" s="3"/>
      <c r="F503" s="3"/>
      <c r="G503" s="3"/>
      <c r="H503" s="3"/>
      <c r="I503" s="3"/>
      <c r="J503" s="39"/>
    </row>
    <row r="504" s="1" customFormat="1" spans="4:10">
      <c r="D504" s="2"/>
      <c r="E504" s="3"/>
      <c r="F504" s="3"/>
      <c r="G504" s="3"/>
      <c r="H504" s="3"/>
      <c r="I504" s="3"/>
      <c r="J504" s="39"/>
    </row>
    <row r="505" s="1" customFormat="1" spans="4:10">
      <c r="D505" s="2"/>
      <c r="E505" s="3"/>
      <c r="F505" s="3"/>
      <c r="G505" s="3"/>
      <c r="H505" s="3"/>
      <c r="I505" s="3"/>
      <c r="J505" s="39"/>
    </row>
    <row r="506" s="1" customFormat="1" spans="4:10">
      <c r="D506" s="2"/>
      <c r="E506" s="3"/>
      <c r="F506" s="3"/>
      <c r="G506" s="3"/>
      <c r="H506" s="3"/>
      <c r="I506" s="3"/>
      <c r="J506" s="39"/>
    </row>
    <row r="507" s="1" customFormat="1" spans="4:10">
      <c r="D507" s="2"/>
      <c r="E507" s="3"/>
      <c r="F507" s="3"/>
      <c r="G507" s="3"/>
      <c r="H507" s="3"/>
      <c r="I507" s="3"/>
      <c r="J507" s="39"/>
    </row>
    <row r="508" s="1" customFormat="1" spans="4:10">
      <c r="D508" s="2"/>
      <c r="E508" s="3"/>
      <c r="F508" s="3"/>
      <c r="G508" s="3"/>
      <c r="H508" s="3"/>
      <c r="I508" s="3"/>
      <c r="J508" s="39"/>
    </row>
    <row r="509" s="1" customFormat="1" spans="4:10">
      <c r="D509" s="2"/>
      <c r="E509" s="3"/>
      <c r="F509" s="3"/>
      <c r="G509" s="3"/>
      <c r="H509" s="3"/>
      <c r="I509" s="3"/>
      <c r="J509" s="39"/>
    </row>
    <row r="510" s="1" customFormat="1" spans="4:10">
      <c r="D510" s="2"/>
      <c r="E510" s="3"/>
      <c r="F510" s="3"/>
      <c r="G510" s="3"/>
      <c r="H510" s="3"/>
      <c r="I510" s="3"/>
      <c r="J510" s="39"/>
    </row>
    <row r="511" s="1" customFormat="1" spans="4:10">
      <c r="D511" s="2"/>
      <c r="E511" s="3"/>
      <c r="F511" s="3"/>
      <c r="G511" s="3"/>
      <c r="H511" s="3"/>
      <c r="I511" s="3"/>
      <c r="J511" s="39"/>
    </row>
    <row r="512" s="1" customFormat="1" spans="4:10">
      <c r="D512" s="2"/>
      <c r="E512" s="3"/>
      <c r="F512" s="3"/>
      <c r="G512" s="3"/>
      <c r="H512" s="3"/>
      <c r="I512" s="3"/>
      <c r="J512" s="39"/>
    </row>
    <row r="513" s="1" customFormat="1" spans="4:10">
      <c r="D513" s="2"/>
      <c r="E513" s="3"/>
      <c r="F513" s="3"/>
      <c r="G513" s="3"/>
      <c r="H513" s="3"/>
      <c r="I513" s="3"/>
      <c r="J513" s="39"/>
    </row>
    <row r="514" s="1" customFormat="1" spans="4:10">
      <c r="D514" s="2"/>
      <c r="E514" s="3"/>
      <c r="F514" s="3"/>
      <c r="G514" s="3"/>
      <c r="H514" s="3"/>
      <c r="I514" s="3"/>
      <c r="J514" s="39"/>
    </row>
    <row r="515" s="1" customFormat="1" spans="4:10">
      <c r="D515" s="2"/>
      <c r="E515" s="3"/>
      <c r="F515" s="3"/>
      <c r="G515" s="3"/>
      <c r="H515" s="3"/>
      <c r="I515" s="3"/>
      <c r="J515" s="39"/>
    </row>
    <row r="516" s="1" customFormat="1" spans="4:10">
      <c r="D516" s="2"/>
      <c r="E516" s="3"/>
      <c r="F516" s="3"/>
      <c r="G516" s="3"/>
      <c r="H516" s="3"/>
      <c r="I516" s="3"/>
      <c r="J516" s="39"/>
    </row>
    <row r="517" s="1" customFormat="1" spans="4:10">
      <c r="D517" s="2"/>
      <c r="E517" s="3"/>
      <c r="F517" s="3"/>
      <c r="G517" s="3"/>
      <c r="H517" s="3"/>
      <c r="I517" s="3"/>
      <c r="J517" s="39"/>
    </row>
    <row r="518" s="1" customFormat="1" spans="4:10">
      <c r="D518" s="2"/>
      <c r="E518" s="3"/>
      <c r="F518" s="3"/>
      <c r="G518" s="3"/>
      <c r="H518" s="3"/>
      <c r="I518" s="3"/>
      <c r="J518" s="39"/>
    </row>
    <row r="519" s="1" customFormat="1" spans="4:10">
      <c r="D519" s="2"/>
      <c r="E519" s="3"/>
      <c r="F519" s="3"/>
      <c r="G519" s="3"/>
      <c r="H519" s="3"/>
      <c r="I519" s="3"/>
      <c r="J519" s="39"/>
    </row>
    <row r="520" s="1" customFormat="1" spans="4:10">
      <c r="D520" s="2"/>
      <c r="E520" s="3"/>
      <c r="F520" s="3"/>
      <c r="G520" s="3"/>
      <c r="H520" s="3"/>
      <c r="I520" s="3"/>
      <c r="J520" s="39"/>
    </row>
    <row r="521" s="1" customFormat="1" spans="4:10">
      <c r="D521" s="2"/>
      <c r="E521" s="3"/>
      <c r="F521" s="3"/>
      <c r="G521" s="3"/>
      <c r="H521" s="3"/>
      <c r="I521" s="3"/>
      <c r="J521" s="39"/>
    </row>
    <row r="522" s="1" customFormat="1" spans="4:10">
      <c r="D522" s="2"/>
      <c r="E522" s="3"/>
      <c r="F522" s="3"/>
      <c r="G522" s="3"/>
      <c r="H522" s="3"/>
      <c r="I522" s="3"/>
      <c r="J522" s="39"/>
    </row>
    <row r="523" s="1" customFormat="1" spans="4:10">
      <c r="D523" s="2"/>
      <c r="E523" s="3"/>
      <c r="F523" s="3"/>
      <c r="G523" s="3"/>
      <c r="H523" s="3"/>
      <c r="I523" s="3"/>
      <c r="J523" s="39"/>
    </row>
    <row r="524" s="1" customFormat="1" spans="4:10">
      <c r="D524" s="2"/>
      <c r="E524" s="3"/>
      <c r="F524" s="3"/>
      <c r="G524" s="3"/>
      <c r="H524" s="3"/>
      <c r="I524" s="3"/>
      <c r="J524" s="39"/>
    </row>
    <row r="525" s="1" customFormat="1" spans="4:10">
      <c r="D525" s="2"/>
      <c r="E525" s="3"/>
      <c r="F525" s="3"/>
      <c r="G525" s="3"/>
      <c r="H525" s="3"/>
      <c r="I525" s="3"/>
      <c r="J525" s="39"/>
    </row>
    <row r="526" s="1" customFormat="1" spans="4:10">
      <c r="D526" s="2"/>
      <c r="E526" s="3"/>
      <c r="F526" s="3"/>
      <c r="G526" s="3"/>
      <c r="H526" s="3"/>
      <c r="I526" s="3"/>
      <c r="J526" s="39"/>
    </row>
    <row r="527" s="1" customFormat="1" spans="4:10">
      <c r="D527" s="2"/>
      <c r="E527" s="3"/>
      <c r="F527" s="3"/>
      <c r="G527" s="3"/>
      <c r="H527" s="3"/>
      <c r="I527" s="3"/>
      <c r="J527" s="39"/>
    </row>
    <row r="528" s="1" customFormat="1" spans="4:10">
      <c r="D528" s="2"/>
      <c r="E528" s="3"/>
      <c r="F528" s="3"/>
      <c r="G528" s="3"/>
      <c r="H528" s="3"/>
      <c r="I528" s="3"/>
      <c r="J528" s="39"/>
    </row>
    <row r="529" s="1" customFormat="1" spans="4:10">
      <c r="D529" s="2"/>
      <c r="E529" s="3"/>
      <c r="F529" s="3"/>
      <c r="G529" s="3"/>
      <c r="H529" s="3"/>
      <c r="I529" s="3"/>
      <c r="J529" s="39"/>
    </row>
    <row r="530" s="1" customFormat="1" spans="4:10">
      <c r="D530" s="2"/>
      <c r="E530" s="3"/>
      <c r="F530" s="3"/>
      <c r="G530" s="3"/>
      <c r="H530" s="3"/>
      <c r="I530" s="3"/>
      <c r="J530" s="39"/>
    </row>
    <row r="531" s="1" customFormat="1" spans="4:10">
      <c r="D531" s="2"/>
      <c r="E531" s="3"/>
      <c r="F531" s="3"/>
      <c r="G531" s="3"/>
      <c r="H531" s="3"/>
      <c r="I531" s="3"/>
      <c r="J531" s="39"/>
    </row>
    <row r="532" s="1" customFormat="1" spans="4:10">
      <c r="D532" s="2"/>
      <c r="E532" s="3"/>
      <c r="F532" s="3"/>
      <c r="G532" s="3"/>
      <c r="H532" s="3"/>
      <c r="I532" s="3"/>
      <c r="J532" s="39"/>
    </row>
    <row r="533" s="1" customFormat="1" spans="4:10">
      <c r="D533" s="2"/>
      <c r="E533" s="3"/>
      <c r="F533" s="3"/>
      <c r="G533" s="3"/>
      <c r="H533" s="3"/>
      <c r="I533" s="3"/>
      <c r="J533" s="39"/>
    </row>
    <row r="534" s="1" customFormat="1" spans="4:10">
      <c r="D534" s="2"/>
      <c r="E534" s="3"/>
      <c r="F534" s="3"/>
      <c r="G534" s="3"/>
      <c r="H534" s="3"/>
      <c r="I534" s="3"/>
      <c r="J534" s="39"/>
    </row>
    <row r="535" s="1" customFormat="1" spans="4:10">
      <c r="D535" s="2"/>
      <c r="E535" s="3"/>
      <c r="F535" s="3"/>
      <c r="G535" s="3"/>
      <c r="H535" s="3"/>
      <c r="I535" s="3"/>
      <c r="J535" s="39"/>
    </row>
    <row r="536" s="1" customFormat="1" spans="4:10">
      <c r="D536" s="2"/>
      <c r="E536" s="3"/>
      <c r="F536" s="3"/>
      <c r="G536" s="3"/>
      <c r="H536" s="3"/>
      <c r="I536" s="3"/>
      <c r="J536" s="39"/>
    </row>
    <row r="537" s="1" customFormat="1" spans="4:10">
      <c r="D537" s="2"/>
      <c r="E537" s="3"/>
      <c r="F537" s="3"/>
      <c r="G537" s="3"/>
      <c r="H537" s="3"/>
      <c r="I537" s="3"/>
      <c r="J537" s="39"/>
    </row>
    <row r="538" s="1" customFormat="1" spans="4:10">
      <c r="D538" s="2"/>
      <c r="E538" s="3"/>
      <c r="F538" s="3"/>
      <c r="G538" s="3"/>
      <c r="H538" s="3"/>
      <c r="I538" s="3"/>
      <c r="J538" s="39"/>
    </row>
    <row r="539" s="1" customFormat="1" spans="4:10">
      <c r="D539" s="2"/>
      <c r="E539" s="3"/>
      <c r="F539" s="3"/>
      <c r="G539" s="3"/>
      <c r="H539" s="3"/>
      <c r="I539" s="3"/>
      <c r="J539" s="39"/>
    </row>
    <row r="540" s="1" customFormat="1" spans="4:10">
      <c r="D540" s="2"/>
      <c r="E540" s="3"/>
      <c r="F540" s="3"/>
      <c r="G540" s="3"/>
      <c r="H540" s="3"/>
      <c r="I540" s="3"/>
      <c r="J540" s="39"/>
    </row>
    <row r="541" s="1" customFormat="1" spans="4:10">
      <c r="D541" s="2"/>
      <c r="E541" s="3"/>
      <c r="F541" s="3"/>
      <c r="G541" s="3"/>
      <c r="H541" s="3"/>
      <c r="I541" s="3"/>
      <c r="J541" s="39"/>
    </row>
    <row r="542" s="1" customFormat="1" spans="4:10">
      <c r="D542" s="2"/>
      <c r="E542" s="3"/>
      <c r="F542" s="3"/>
      <c r="G542" s="3"/>
      <c r="H542" s="3"/>
      <c r="I542" s="3"/>
      <c r="J542" s="39"/>
    </row>
    <row r="543" s="1" customFormat="1" spans="4:10">
      <c r="D543" s="2"/>
      <c r="E543" s="3"/>
      <c r="F543" s="3"/>
      <c r="G543" s="3"/>
      <c r="H543" s="3"/>
      <c r="I543" s="3"/>
      <c r="J543" s="39"/>
    </row>
    <row r="544" s="1" customFormat="1" spans="4:10">
      <c r="D544" s="2"/>
      <c r="E544" s="3"/>
      <c r="F544" s="3"/>
      <c r="G544" s="3"/>
      <c r="H544" s="3"/>
      <c r="I544" s="3"/>
      <c r="J544" s="39"/>
    </row>
    <row r="545" s="1" customFormat="1" spans="4:10">
      <c r="D545" s="2"/>
      <c r="E545" s="3"/>
      <c r="F545" s="3"/>
      <c r="G545" s="3"/>
      <c r="H545" s="3"/>
      <c r="I545" s="3"/>
      <c r="J545" s="39"/>
    </row>
    <row r="546" s="1" customFormat="1" spans="4:10">
      <c r="D546" s="2"/>
      <c r="E546" s="3"/>
      <c r="F546" s="3"/>
      <c r="G546" s="3"/>
      <c r="H546" s="3"/>
      <c r="I546" s="3"/>
      <c r="J546" s="39"/>
    </row>
    <row r="547" s="1" customFormat="1" spans="4:10">
      <c r="D547" s="2"/>
      <c r="E547" s="3"/>
      <c r="F547" s="3"/>
      <c r="G547" s="3"/>
      <c r="H547" s="3"/>
      <c r="I547" s="3"/>
      <c r="J547" s="39"/>
    </row>
    <row r="548" s="1" customFormat="1" spans="4:10">
      <c r="D548" s="2"/>
      <c r="E548" s="3"/>
      <c r="F548" s="3"/>
      <c r="G548" s="3"/>
      <c r="H548" s="3"/>
      <c r="I548" s="3"/>
      <c r="J548" s="39"/>
    </row>
    <row r="549" s="1" customFormat="1" spans="4:10">
      <c r="D549" s="2"/>
      <c r="E549" s="3"/>
      <c r="F549" s="3"/>
      <c r="G549" s="3"/>
      <c r="H549" s="3"/>
      <c r="I549" s="3"/>
      <c r="J549" s="39"/>
    </row>
    <row r="550" s="1" customFormat="1" spans="4:10">
      <c r="D550" s="2"/>
      <c r="E550" s="3"/>
      <c r="F550" s="3"/>
      <c r="G550" s="3"/>
      <c r="H550" s="3"/>
      <c r="I550" s="3"/>
      <c r="J550" s="39"/>
    </row>
    <row r="551" s="1" customFormat="1" spans="4:10">
      <c r="D551" s="2"/>
      <c r="E551" s="3"/>
      <c r="F551" s="3"/>
      <c r="G551" s="3"/>
      <c r="H551" s="3"/>
      <c r="I551" s="3"/>
      <c r="J551" s="39"/>
    </row>
    <row r="552" s="1" customFormat="1" spans="4:10">
      <c r="D552" s="2"/>
      <c r="E552" s="3"/>
      <c r="F552" s="3"/>
      <c r="G552" s="3"/>
      <c r="H552" s="3"/>
      <c r="I552" s="3"/>
      <c r="J552" s="39"/>
    </row>
    <row r="553" s="1" customFormat="1" spans="4:10">
      <c r="D553" s="2"/>
      <c r="E553" s="3"/>
      <c r="F553" s="3"/>
      <c r="G553" s="3"/>
      <c r="H553" s="3"/>
      <c r="I553" s="3"/>
      <c r="J553" s="39"/>
    </row>
    <row r="554" s="1" customFormat="1" spans="4:10">
      <c r="D554" s="2"/>
      <c r="E554" s="3"/>
      <c r="F554" s="3"/>
      <c r="G554" s="3"/>
      <c r="H554" s="3"/>
      <c r="I554" s="3"/>
      <c r="J554" s="39"/>
    </row>
    <row r="555" s="1" customFormat="1" spans="4:10">
      <c r="D555" s="2"/>
      <c r="E555" s="3"/>
      <c r="F555" s="3"/>
      <c r="G555" s="3"/>
      <c r="H555" s="3"/>
      <c r="I555" s="3"/>
      <c r="J555" s="39"/>
    </row>
    <row r="556" s="1" customFormat="1" spans="4:10">
      <c r="D556" s="2"/>
      <c r="E556" s="3"/>
      <c r="F556" s="3"/>
      <c r="G556" s="3"/>
      <c r="H556" s="3"/>
      <c r="I556" s="3"/>
      <c r="J556" s="39"/>
    </row>
    <row r="557" s="1" customFormat="1" spans="4:10">
      <c r="D557" s="2"/>
      <c r="E557" s="3"/>
      <c r="F557" s="3"/>
      <c r="G557" s="3"/>
      <c r="H557" s="3"/>
      <c r="I557" s="3"/>
      <c r="J557" s="39"/>
    </row>
    <row r="558" s="1" customFormat="1" spans="4:10">
      <c r="D558" s="2"/>
      <c r="E558" s="3"/>
      <c r="F558" s="3"/>
      <c r="G558" s="3"/>
      <c r="H558" s="3"/>
      <c r="I558" s="3"/>
      <c r="J558" s="39"/>
    </row>
    <row r="559" s="1" customFormat="1" spans="4:10">
      <c r="D559" s="2"/>
      <c r="E559" s="3"/>
      <c r="F559" s="3"/>
      <c r="G559" s="3"/>
      <c r="H559" s="3"/>
      <c r="I559" s="3"/>
      <c r="J559" s="39"/>
    </row>
    <row r="560" s="1" customFormat="1" spans="4:10">
      <c r="D560" s="2"/>
      <c r="E560" s="3"/>
      <c r="F560" s="3"/>
      <c r="G560" s="3"/>
      <c r="H560" s="3"/>
      <c r="I560" s="3"/>
      <c r="J560" s="39"/>
    </row>
    <row r="561" s="1" customFormat="1" spans="4:10">
      <c r="D561" s="2"/>
      <c r="E561" s="3"/>
      <c r="F561" s="3"/>
      <c r="G561" s="3"/>
      <c r="H561" s="3"/>
      <c r="I561" s="3"/>
      <c r="J561" s="39"/>
    </row>
    <row r="562" s="1" customFormat="1" spans="4:10">
      <c r="D562" s="2"/>
      <c r="E562" s="3"/>
      <c r="F562" s="3"/>
      <c r="G562" s="3"/>
      <c r="H562" s="3"/>
      <c r="I562" s="3"/>
      <c r="J562" s="39"/>
    </row>
    <row r="563" s="1" customFormat="1" spans="4:10">
      <c r="D563" s="2"/>
      <c r="E563" s="3"/>
      <c r="F563" s="3"/>
      <c r="G563" s="3"/>
      <c r="H563" s="3"/>
      <c r="I563" s="3"/>
      <c r="J563" s="39"/>
    </row>
    <row r="564" s="1" customFormat="1" spans="4:10">
      <c r="D564" s="2"/>
      <c r="E564" s="3"/>
      <c r="F564" s="3"/>
      <c r="G564" s="3"/>
      <c r="H564" s="3"/>
      <c r="I564" s="3"/>
      <c r="J564" s="39"/>
    </row>
    <row r="565" s="1" customFormat="1" spans="4:10">
      <c r="D565" s="2"/>
      <c r="E565" s="3"/>
      <c r="F565" s="3"/>
      <c r="G565" s="3"/>
      <c r="H565" s="3"/>
      <c r="I565" s="3"/>
      <c r="J565" s="39"/>
    </row>
    <row r="566" s="1" customFormat="1" spans="4:10">
      <c r="D566" s="2"/>
      <c r="E566" s="3"/>
      <c r="F566" s="3"/>
      <c r="G566" s="3"/>
      <c r="H566" s="3"/>
      <c r="I566" s="3"/>
      <c r="J566" s="39"/>
    </row>
    <row r="567" s="1" customFormat="1" spans="4:10">
      <c r="D567" s="2"/>
      <c r="E567" s="3"/>
      <c r="F567" s="3"/>
      <c r="G567" s="3"/>
      <c r="H567" s="3"/>
      <c r="I567" s="3"/>
      <c r="J567" s="39"/>
    </row>
    <row r="568" s="1" customFormat="1" spans="4:10">
      <c r="D568" s="2"/>
      <c r="E568" s="3"/>
      <c r="F568" s="3"/>
      <c r="G568" s="3"/>
      <c r="H568" s="3"/>
      <c r="I568" s="3"/>
      <c r="J568" s="39"/>
    </row>
    <row r="569" s="1" customFormat="1" spans="4:10">
      <c r="D569" s="2"/>
      <c r="E569" s="3"/>
      <c r="F569" s="3"/>
      <c r="G569" s="3"/>
      <c r="H569" s="3"/>
      <c r="I569" s="3"/>
      <c r="J569" s="39"/>
    </row>
    <row r="570" s="1" customFormat="1" spans="4:10">
      <c r="D570" s="2"/>
      <c r="E570" s="3"/>
      <c r="F570" s="3"/>
      <c r="G570" s="3"/>
      <c r="H570" s="3"/>
      <c r="I570" s="3"/>
      <c r="J570" s="39"/>
    </row>
    <row r="571" s="1" customFormat="1" spans="4:10">
      <c r="D571" s="2"/>
      <c r="E571" s="3"/>
      <c r="F571" s="3"/>
      <c r="G571" s="3"/>
      <c r="H571" s="3"/>
      <c r="I571" s="3"/>
      <c r="J571" s="39"/>
    </row>
    <row r="572" s="1" customFormat="1" spans="4:10">
      <c r="D572" s="2"/>
      <c r="E572" s="3"/>
      <c r="F572" s="3"/>
      <c r="G572" s="3"/>
      <c r="H572" s="3"/>
      <c r="I572" s="3"/>
      <c r="J572" s="39"/>
    </row>
    <row r="573" s="1" customFormat="1" spans="4:10">
      <c r="D573" s="2"/>
      <c r="E573" s="3"/>
      <c r="F573" s="3"/>
      <c r="G573" s="3"/>
      <c r="H573" s="3"/>
      <c r="I573" s="3"/>
      <c r="J573" s="39"/>
    </row>
    <row r="574" s="1" customFormat="1" spans="4:10">
      <c r="D574" s="2"/>
      <c r="E574" s="3"/>
      <c r="F574" s="3"/>
      <c r="G574" s="3"/>
      <c r="H574" s="3"/>
      <c r="I574" s="3"/>
      <c r="J574" s="39"/>
    </row>
    <row r="575" s="1" customFormat="1" spans="4:10">
      <c r="D575" s="2"/>
      <c r="E575" s="3"/>
      <c r="F575" s="3"/>
      <c r="G575" s="3"/>
      <c r="H575" s="3"/>
      <c r="I575" s="3"/>
      <c r="J575" s="39"/>
    </row>
    <row r="576" s="1" customFormat="1" spans="4:10">
      <c r="D576" s="2"/>
      <c r="E576" s="3"/>
      <c r="F576" s="3"/>
      <c r="G576" s="3"/>
      <c r="H576" s="3"/>
      <c r="I576" s="3"/>
      <c r="J576" s="39"/>
    </row>
    <row r="577" s="1" customFormat="1" spans="4:10">
      <c r="D577" s="2"/>
      <c r="E577" s="3"/>
      <c r="F577" s="3"/>
      <c r="G577" s="3"/>
      <c r="H577" s="3"/>
      <c r="I577" s="3"/>
      <c r="J577" s="39"/>
    </row>
    <row r="578" s="1" customFormat="1" spans="4:10">
      <c r="D578" s="2"/>
      <c r="E578" s="3"/>
      <c r="F578" s="3"/>
      <c r="G578" s="3"/>
      <c r="H578" s="3"/>
      <c r="I578" s="3"/>
      <c r="J578" s="39"/>
    </row>
    <row r="579" s="1" customFormat="1" spans="4:10">
      <c r="D579" s="2"/>
      <c r="E579" s="3"/>
      <c r="F579" s="3"/>
      <c r="G579" s="3"/>
      <c r="H579" s="3"/>
      <c r="I579" s="3"/>
      <c r="J579" s="39"/>
    </row>
    <row r="580" s="1" customFormat="1" spans="4:10">
      <c r="D580" s="2"/>
      <c r="E580" s="3"/>
      <c r="F580" s="3"/>
      <c r="G580" s="3"/>
      <c r="H580" s="3"/>
      <c r="I580" s="3"/>
      <c r="J580" s="39"/>
    </row>
    <row r="581" s="1" customFormat="1" spans="4:10">
      <c r="D581" s="2"/>
      <c r="E581" s="3"/>
      <c r="F581" s="3"/>
      <c r="G581" s="3"/>
      <c r="H581" s="3"/>
      <c r="I581" s="3"/>
      <c r="J581" s="39"/>
    </row>
    <row r="582" s="1" customFormat="1" spans="4:10">
      <c r="D582" s="2"/>
      <c r="E582" s="3"/>
      <c r="F582" s="3"/>
      <c r="G582" s="3"/>
      <c r="H582" s="3"/>
      <c r="I582" s="3"/>
      <c r="J582" s="39"/>
    </row>
    <row r="583" s="1" customFormat="1" spans="4:10">
      <c r="D583" s="2"/>
      <c r="E583" s="3"/>
      <c r="F583" s="3"/>
      <c r="G583" s="3"/>
      <c r="H583" s="3"/>
      <c r="I583" s="3"/>
      <c r="J583" s="39"/>
    </row>
    <row r="584" s="1" customFormat="1" spans="4:10">
      <c r="D584" s="2"/>
      <c r="E584" s="3"/>
      <c r="F584" s="3"/>
      <c r="G584" s="3"/>
      <c r="H584" s="3"/>
      <c r="I584" s="3"/>
      <c r="J584" s="39"/>
    </row>
    <row r="585" s="1" customFormat="1" spans="4:10">
      <c r="D585" s="2"/>
      <c r="E585" s="3"/>
      <c r="F585" s="3"/>
      <c r="G585" s="3"/>
      <c r="H585" s="3"/>
      <c r="I585" s="3"/>
      <c r="J585" s="39"/>
    </row>
    <row r="586" s="1" customFormat="1" spans="4:10">
      <c r="D586" s="2"/>
      <c r="E586" s="3"/>
      <c r="F586" s="3"/>
      <c r="G586" s="3"/>
      <c r="H586" s="3"/>
      <c r="I586" s="3"/>
      <c r="J586" s="39"/>
    </row>
    <row r="587" s="1" customFormat="1" spans="4:10">
      <c r="D587" s="2"/>
      <c r="E587" s="3"/>
      <c r="F587" s="3"/>
      <c r="G587" s="3"/>
      <c r="H587" s="3"/>
      <c r="I587" s="3"/>
      <c r="J587" s="39"/>
    </row>
    <row r="588" s="1" customFormat="1" spans="4:10">
      <c r="D588" s="2"/>
      <c r="E588" s="3"/>
      <c r="F588" s="3"/>
      <c r="G588" s="3"/>
      <c r="H588" s="3"/>
      <c r="I588" s="3"/>
      <c r="J588" s="39"/>
    </row>
    <row r="589" s="1" customFormat="1" spans="4:10">
      <c r="D589" s="2"/>
      <c r="E589" s="3"/>
      <c r="F589" s="3"/>
      <c r="G589" s="3"/>
      <c r="H589" s="3"/>
      <c r="I589" s="3"/>
      <c r="J589" s="39"/>
    </row>
    <row r="590" s="1" customFormat="1" spans="4:10">
      <c r="D590" s="2"/>
      <c r="E590" s="3"/>
      <c r="F590" s="3"/>
      <c r="G590" s="3"/>
      <c r="H590" s="3"/>
      <c r="I590" s="3"/>
      <c r="J590" s="39"/>
    </row>
    <row r="591" s="1" customFormat="1" spans="4:10">
      <c r="D591" s="2"/>
      <c r="E591" s="3"/>
      <c r="F591" s="3"/>
      <c r="G591" s="3"/>
      <c r="H591" s="3"/>
      <c r="I591" s="3"/>
      <c r="J591" s="39"/>
    </row>
    <row r="592" s="1" customFormat="1" spans="4:10">
      <c r="D592" s="2"/>
      <c r="E592" s="3"/>
      <c r="F592" s="3"/>
      <c r="G592" s="3"/>
      <c r="H592" s="3"/>
      <c r="I592" s="3"/>
      <c r="J592" s="39"/>
    </row>
    <row r="593" s="1" customFormat="1" spans="4:10">
      <c r="D593" s="2"/>
      <c r="E593" s="3"/>
      <c r="F593" s="3"/>
      <c r="G593" s="3"/>
      <c r="H593" s="3"/>
      <c r="I593" s="3"/>
      <c r="J593" s="39"/>
    </row>
    <row r="594" s="1" customFormat="1" spans="4:10">
      <c r="D594" s="2"/>
      <c r="E594" s="3"/>
      <c r="F594" s="3"/>
      <c r="G594" s="3"/>
      <c r="H594" s="3"/>
      <c r="I594" s="3"/>
      <c r="J594" s="39"/>
    </row>
    <row r="595" s="1" customFormat="1" spans="4:10">
      <c r="D595" s="2"/>
      <c r="E595" s="3"/>
      <c r="F595" s="3"/>
      <c r="G595" s="3"/>
      <c r="H595" s="3"/>
      <c r="I595" s="3"/>
      <c r="J595" s="39"/>
    </row>
    <row r="596" s="1" customFormat="1" spans="4:10">
      <c r="D596" s="2"/>
      <c r="E596" s="3"/>
      <c r="F596" s="3"/>
      <c r="G596" s="3"/>
      <c r="H596" s="3"/>
      <c r="I596" s="3"/>
      <c r="J596" s="39"/>
    </row>
    <row r="597" s="1" customFormat="1" spans="4:10">
      <c r="D597" s="2"/>
      <c r="E597" s="3"/>
      <c r="F597" s="3"/>
      <c r="G597" s="3"/>
      <c r="H597" s="3"/>
      <c r="I597" s="3"/>
      <c r="J597" s="39"/>
    </row>
    <row r="598" s="1" customFormat="1" spans="4:10">
      <c r="D598" s="2"/>
      <c r="E598" s="3"/>
      <c r="F598" s="3"/>
      <c r="G598" s="3"/>
      <c r="H598" s="3"/>
      <c r="I598" s="3"/>
      <c r="J598" s="39"/>
    </row>
    <row r="599" s="1" customFormat="1" spans="4:10">
      <c r="D599" s="2"/>
      <c r="E599" s="3"/>
      <c r="F599" s="3"/>
      <c r="G599" s="3"/>
      <c r="H599" s="3"/>
      <c r="I599" s="3"/>
      <c r="J599" s="39"/>
    </row>
    <row r="600" s="1" customFormat="1" spans="4:10">
      <c r="D600" s="2"/>
      <c r="E600" s="3"/>
      <c r="F600" s="3"/>
      <c r="G600" s="3"/>
      <c r="H600" s="3"/>
      <c r="I600" s="3"/>
      <c r="J600" s="39"/>
    </row>
    <row r="601" s="1" customFormat="1" spans="4:10">
      <c r="D601" s="2"/>
      <c r="E601" s="3"/>
      <c r="F601" s="3"/>
      <c r="G601" s="3"/>
      <c r="H601" s="3"/>
      <c r="I601" s="3"/>
      <c r="J601" s="39"/>
    </row>
    <row r="602" s="1" customFormat="1" spans="4:10">
      <c r="D602" s="2"/>
      <c r="E602" s="3"/>
      <c r="F602" s="3"/>
      <c r="G602" s="3"/>
      <c r="H602" s="3"/>
      <c r="I602" s="3"/>
      <c r="J602" s="39"/>
    </row>
    <row r="603" s="1" customFormat="1" spans="4:10">
      <c r="D603" s="2"/>
      <c r="E603" s="3"/>
      <c r="F603" s="3"/>
      <c r="G603" s="3"/>
      <c r="H603" s="3"/>
      <c r="I603" s="3"/>
      <c r="J603" s="39"/>
    </row>
    <row r="604" s="1" customFormat="1" spans="4:10">
      <c r="D604" s="2"/>
      <c r="E604" s="3"/>
      <c r="F604" s="3"/>
      <c r="G604" s="3"/>
      <c r="H604" s="3"/>
      <c r="I604" s="3"/>
      <c r="J604" s="39"/>
    </row>
    <row r="605" s="1" customFormat="1" spans="4:10">
      <c r="D605" s="2"/>
      <c r="E605" s="3"/>
      <c r="F605" s="3"/>
      <c r="G605" s="3"/>
      <c r="H605" s="3"/>
      <c r="I605" s="3"/>
      <c r="J605" s="39"/>
    </row>
    <row r="606" s="1" customFormat="1" spans="4:10">
      <c r="D606" s="2"/>
      <c r="E606" s="3"/>
      <c r="F606" s="3"/>
      <c r="G606" s="3"/>
      <c r="H606" s="3"/>
      <c r="I606" s="3"/>
      <c r="J606" s="39"/>
    </row>
    <row r="607" s="1" customFormat="1" spans="4:10">
      <c r="D607" s="2"/>
      <c r="E607" s="3"/>
      <c r="F607" s="3"/>
      <c r="G607" s="3"/>
      <c r="H607" s="3"/>
      <c r="I607" s="3"/>
      <c r="J607" s="39"/>
    </row>
    <row r="608" s="1" customFormat="1" spans="4:10">
      <c r="D608" s="2"/>
      <c r="E608" s="3"/>
      <c r="F608" s="3"/>
      <c r="G608" s="3"/>
      <c r="H608" s="3"/>
      <c r="I608" s="3"/>
      <c r="J608" s="39"/>
    </row>
    <row r="609" s="1" customFormat="1" spans="4:10">
      <c r="D609" s="2"/>
      <c r="E609" s="3"/>
      <c r="F609" s="3"/>
      <c r="G609" s="3"/>
      <c r="H609" s="3"/>
      <c r="I609" s="3"/>
      <c r="J609" s="39"/>
    </row>
    <row r="610" s="1" customFormat="1" spans="4:10">
      <c r="D610" s="2"/>
      <c r="E610" s="3"/>
      <c r="F610" s="3"/>
      <c r="G610" s="3"/>
      <c r="H610" s="3"/>
      <c r="I610" s="3"/>
      <c r="J610" s="39"/>
    </row>
    <row r="611" s="1" customFormat="1" spans="4:10">
      <c r="D611" s="2"/>
      <c r="E611" s="3"/>
      <c r="F611" s="3"/>
      <c r="G611" s="3"/>
      <c r="H611" s="3"/>
      <c r="I611" s="3"/>
      <c r="J611" s="39"/>
    </row>
    <row r="612" s="1" customFormat="1" spans="4:10">
      <c r="D612" s="2"/>
      <c r="E612" s="3"/>
      <c r="F612" s="3"/>
      <c r="G612" s="3"/>
      <c r="H612" s="3"/>
      <c r="I612" s="3"/>
      <c r="J612" s="39"/>
    </row>
    <row r="613" s="1" customFormat="1" spans="4:10">
      <c r="D613" s="2"/>
      <c r="E613" s="3"/>
      <c r="F613" s="3"/>
      <c r="G613" s="3"/>
      <c r="H613" s="3"/>
      <c r="I613" s="3"/>
      <c r="J613" s="39"/>
    </row>
    <row r="614" s="1" customFormat="1" spans="4:10">
      <c r="D614" s="2"/>
      <c r="E614" s="3"/>
      <c r="F614" s="3"/>
      <c r="G614" s="3"/>
      <c r="H614" s="3"/>
      <c r="I614" s="3"/>
      <c r="J614" s="39"/>
    </row>
    <row r="615" s="1" customFormat="1" spans="4:10">
      <c r="D615" s="2"/>
      <c r="E615" s="3"/>
      <c r="F615" s="3"/>
      <c r="G615" s="3"/>
      <c r="H615" s="3"/>
      <c r="I615" s="3"/>
      <c r="J615" s="39"/>
    </row>
    <row r="616" s="1" customFormat="1" spans="4:10">
      <c r="D616" s="2"/>
      <c r="E616" s="3"/>
      <c r="F616" s="3"/>
      <c r="G616" s="3"/>
      <c r="H616" s="3"/>
      <c r="I616" s="3"/>
      <c r="J616" s="39"/>
    </row>
    <row r="617" s="1" customFormat="1" spans="4:10">
      <c r="D617" s="2"/>
      <c r="E617" s="3"/>
      <c r="F617" s="3"/>
      <c r="G617" s="3"/>
      <c r="H617" s="3"/>
      <c r="I617" s="3"/>
      <c r="J617" s="39"/>
    </row>
    <row r="618" s="1" customFormat="1" spans="4:10">
      <c r="D618" s="2"/>
      <c r="E618" s="3"/>
      <c r="F618" s="3"/>
      <c r="G618" s="3"/>
      <c r="H618" s="3"/>
      <c r="I618" s="3"/>
      <c r="J618" s="39"/>
    </row>
    <row r="619" s="1" customFormat="1" spans="4:10">
      <c r="D619" s="2"/>
      <c r="E619" s="3"/>
      <c r="F619" s="3"/>
      <c r="G619" s="3"/>
      <c r="H619" s="3"/>
      <c r="I619" s="3"/>
      <c r="J619" s="39"/>
    </row>
    <row r="620" s="1" customFormat="1" spans="4:10">
      <c r="D620" s="2"/>
      <c r="E620" s="3"/>
      <c r="F620" s="3"/>
      <c r="G620" s="3"/>
      <c r="H620" s="3"/>
      <c r="I620" s="3"/>
      <c r="J620" s="39"/>
    </row>
    <row r="621" s="1" customFormat="1" spans="4:10">
      <c r="D621" s="2"/>
      <c r="E621" s="3"/>
      <c r="F621" s="3"/>
      <c r="G621" s="3"/>
      <c r="H621" s="3"/>
      <c r="I621" s="3"/>
      <c r="J621" s="39"/>
    </row>
    <row r="622" s="1" customFormat="1" spans="4:10">
      <c r="D622" s="2"/>
      <c r="E622" s="3"/>
      <c r="F622" s="3"/>
      <c r="G622" s="3"/>
      <c r="H622" s="3"/>
      <c r="I622" s="3"/>
      <c r="J622" s="39"/>
    </row>
    <row r="623" s="1" customFormat="1" spans="4:10">
      <c r="D623" s="2"/>
      <c r="E623" s="3"/>
      <c r="F623" s="3"/>
      <c r="G623" s="3"/>
      <c r="H623" s="3"/>
      <c r="I623" s="3"/>
      <c r="J623" s="39"/>
    </row>
    <row r="624" s="1" customFormat="1" spans="4:10">
      <c r="D624" s="2"/>
      <c r="E624" s="3"/>
      <c r="F624" s="3"/>
      <c r="G624" s="3"/>
      <c r="H624" s="3"/>
      <c r="I624" s="3"/>
      <c r="J624" s="39"/>
    </row>
    <row r="625" s="1" customFormat="1" spans="4:10">
      <c r="D625" s="2"/>
      <c r="E625" s="3"/>
      <c r="F625" s="3"/>
      <c r="G625" s="3"/>
      <c r="H625" s="3"/>
      <c r="I625" s="3"/>
      <c r="J625" s="39"/>
    </row>
    <row r="626" s="1" customFormat="1" spans="4:10">
      <c r="D626" s="2"/>
      <c r="E626" s="3"/>
      <c r="F626" s="3"/>
      <c r="G626" s="3"/>
      <c r="H626" s="3"/>
      <c r="I626" s="3"/>
      <c r="J626" s="39"/>
    </row>
    <row r="627" s="1" customFormat="1" spans="4:10">
      <c r="D627" s="2"/>
      <c r="E627" s="3"/>
      <c r="F627" s="3"/>
      <c r="G627" s="3"/>
      <c r="H627" s="3"/>
      <c r="I627" s="3"/>
      <c r="J627" s="39"/>
    </row>
    <row r="628" s="1" customFormat="1" spans="4:10">
      <c r="D628" s="2"/>
      <c r="E628" s="3"/>
      <c r="F628" s="3"/>
      <c r="G628" s="3"/>
      <c r="H628" s="3"/>
      <c r="I628" s="3"/>
      <c r="J628" s="39"/>
    </row>
    <row r="629" s="1" customFormat="1" spans="4:10">
      <c r="D629" s="2"/>
      <c r="E629" s="3"/>
      <c r="F629" s="3"/>
      <c r="G629" s="3"/>
      <c r="H629" s="3"/>
      <c r="I629" s="3"/>
      <c r="J629" s="39"/>
    </row>
    <row r="630" s="1" customFormat="1" spans="4:10">
      <c r="D630" s="2"/>
      <c r="E630" s="3"/>
      <c r="F630" s="3"/>
      <c r="G630" s="3"/>
      <c r="H630" s="3"/>
      <c r="I630" s="3"/>
      <c r="J630" s="39"/>
    </row>
    <row r="631" s="1" customFormat="1" spans="4:10">
      <c r="D631" s="2"/>
      <c r="E631" s="3"/>
      <c r="F631" s="3"/>
      <c r="G631" s="3"/>
      <c r="H631" s="3"/>
      <c r="I631" s="3"/>
      <c r="J631" s="39"/>
    </row>
    <row r="632" s="1" customFormat="1" spans="4:10">
      <c r="D632" s="2"/>
      <c r="E632" s="3"/>
      <c r="F632" s="3"/>
      <c r="G632" s="3"/>
      <c r="H632" s="3"/>
      <c r="I632" s="3"/>
      <c r="J632" s="39"/>
    </row>
    <row r="633" s="1" customFormat="1" spans="4:10">
      <c r="D633" s="2"/>
      <c r="E633" s="3"/>
      <c r="F633" s="3"/>
      <c r="G633" s="3"/>
      <c r="H633" s="3"/>
      <c r="I633" s="3"/>
      <c r="J633" s="39"/>
    </row>
    <row r="634" s="1" customFormat="1" spans="4:10">
      <c r="D634" s="2"/>
      <c r="E634" s="3"/>
      <c r="F634" s="3"/>
      <c r="G634" s="3"/>
      <c r="H634" s="3"/>
      <c r="I634" s="3"/>
      <c r="J634" s="39"/>
    </row>
    <row r="635" s="1" customFormat="1" spans="4:10">
      <c r="D635" s="2"/>
      <c r="E635" s="3"/>
      <c r="F635" s="3"/>
      <c r="G635" s="3"/>
      <c r="H635" s="3"/>
      <c r="I635" s="3"/>
      <c r="J635" s="39"/>
    </row>
    <row r="636" s="1" customFormat="1" spans="4:10">
      <c r="D636" s="2"/>
      <c r="E636" s="3"/>
      <c r="F636" s="3"/>
      <c r="G636" s="3"/>
      <c r="H636" s="3"/>
      <c r="I636" s="3"/>
      <c r="J636" s="39"/>
    </row>
    <row r="637" s="1" customFormat="1" spans="4:10">
      <c r="D637" s="2"/>
      <c r="E637" s="3"/>
      <c r="F637" s="3"/>
      <c r="G637" s="3"/>
      <c r="H637" s="3"/>
      <c r="I637" s="3"/>
      <c r="J637" s="39"/>
    </row>
    <row r="638" s="1" customFormat="1" spans="4:10">
      <c r="D638" s="2"/>
      <c r="E638" s="3"/>
      <c r="F638" s="3"/>
      <c r="G638" s="3"/>
      <c r="H638" s="3"/>
      <c r="I638" s="3"/>
      <c r="J638" s="39"/>
    </row>
    <row r="639" s="1" customFormat="1" spans="4:10">
      <c r="D639" s="2"/>
      <c r="E639" s="3"/>
      <c r="F639" s="3"/>
      <c r="G639" s="3"/>
      <c r="H639" s="3"/>
      <c r="I639" s="3"/>
      <c r="J639" s="39"/>
    </row>
    <row r="640" s="1" customFormat="1" spans="4:10">
      <c r="D640" s="2"/>
      <c r="E640" s="3"/>
      <c r="F640" s="3"/>
      <c r="G640" s="3"/>
      <c r="H640" s="3"/>
      <c r="I640" s="3"/>
      <c r="J640" s="39"/>
    </row>
    <row r="641" s="1" customFormat="1" spans="4:10">
      <c r="D641" s="2"/>
      <c r="E641" s="3"/>
      <c r="F641" s="3"/>
      <c r="G641" s="3"/>
      <c r="H641" s="3"/>
      <c r="I641" s="3"/>
      <c r="J641" s="39"/>
    </row>
    <row r="642" s="1" customFormat="1" spans="4:10">
      <c r="D642" s="2"/>
      <c r="E642" s="3"/>
      <c r="F642" s="3"/>
      <c r="G642" s="3"/>
      <c r="H642" s="3"/>
      <c r="I642" s="3"/>
      <c r="J642" s="39"/>
    </row>
    <row r="643" s="1" customFormat="1" spans="4:10">
      <c r="D643" s="2"/>
      <c r="E643" s="3"/>
      <c r="F643" s="3"/>
      <c r="G643" s="3"/>
      <c r="H643" s="3"/>
      <c r="I643" s="3"/>
      <c r="J643" s="39"/>
    </row>
    <row r="644" s="1" customFormat="1" spans="4:10">
      <c r="D644" s="2"/>
      <c r="E644" s="3"/>
      <c r="F644" s="3"/>
      <c r="G644" s="3"/>
      <c r="H644" s="3"/>
      <c r="I644" s="3"/>
      <c r="J644" s="39"/>
    </row>
    <row r="645" s="1" customFormat="1" spans="4:10">
      <c r="D645" s="2"/>
      <c r="E645" s="3"/>
      <c r="F645" s="3"/>
      <c r="G645" s="3"/>
      <c r="H645" s="3"/>
      <c r="I645" s="3"/>
      <c r="J645" s="39"/>
    </row>
    <row r="646" s="1" customFormat="1" spans="4:10">
      <c r="D646" s="2"/>
      <c r="E646" s="3"/>
      <c r="F646" s="3"/>
      <c r="G646" s="3"/>
      <c r="H646" s="3"/>
      <c r="I646" s="3"/>
      <c r="J646" s="39"/>
    </row>
    <row r="647" s="1" customFormat="1" spans="4:10">
      <c r="D647" s="2"/>
      <c r="E647" s="3"/>
      <c r="F647" s="3"/>
      <c r="G647" s="3"/>
      <c r="H647" s="3"/>
      <c r="I647" s="3"/>
      <c r="J647" s="39"/>
    </row>
    <row r="648" s="1" customFormat="1" spans="4:10">
      <c r="D648" s="2"/>
      <c r="E648" s="3"/>
      <c r="F648" s="3"/>
      <c r="G648" s="3"/>
      <c r="H648" s="3"/>
      <c r="I648" s="3"/>
      <c r="J648" s="39"/>
    </row>
    <row r="649" s="1" customFormat="1" spans="4:10">
      <c r="D649" s="2"/>
      <c r="E649" s="3"/>
      <c r="F649" s="3"/>
      <c r="G649" s="3"/>
      <c r="H649" s="3"/>
      <c r="I649" s="3"/>
      <c r="J649" s="39"/>
    </row>
    <row r="650" s="1" customFormat="1" spans="4:10">
      <c r="D650" s="2"/>
      <c r="E650" s="3"/>
      <c r="F650" s="3"/>
      <c r="G650" s="3"/>
      <c r="H650" s="3"/>
      <c r="I650" s="3"/>
      <c r="J650" s="39"/>
    </row>
    <row r="651" s="1" customFormat="1" spans="4:10">
      <c r="D651" s="2"/>
      <c r="E651" s="3"/>
      <c r="F651" s="3"/>
      <c r="G651" s="3"/>
      <c r="H651" s="3"/>
      <c r="I651" s="3"/>
      <c r="J651" s="39"/>
    </row>
    <row r="652" s="1" customFormat="1" spans="4:10">
      <c r="D652" s="2"/>
      <c r="E652" s="3"/>
      <c r="F652" s="3"/>
      <c r="G652" s="3"/>
      <c r="H652" s="3"/>
      <c r="I652" s="3"/>
      <c r="J652" s="39"/>
    </row>
    <row r="653" s="1" customFormat="1" spans="4:10">
      <c r="D653" s="2"/>
      <c r="E653" s="3"/>
      <c r="F653" s="3"/>
      <c r="G653" s="3"/>
      <c r="H653" s="3"/>
      <c r="I653" s="3"/>
      <c r="J653" s="39"/>
    </row>
    <row r="654" s="1" customFormat="1" spans="4:10">
      <c r="D654" s="2"/>
      <c r="E654" s="3"/>
      <c r="F654" s="3"/>
      <c r="G654" s="3"/>
      <c r="H654" s="3"/>
      <c r="I654" s="3"/>
      <c r="J654" s="39"/>
    </row>
    <row r="655" s="1" customFormat="1" spans="4:10">
      <c r="D655" s="2"/>
      <c r="E655" s="3"/>
      <c r="F655" s="3"/>
      <c r="G655" s="3"/>
      <c r="H655" s="3"/>
      <c r="I655" s="3"/>
      <c r="J655" s="39"/>
    </row>
    <row r="656" s="1" customFormat="1" spans="4:10">
      <c r="D656" s="2"/>
      <c r="E656" s="3"/>
      <c r="F656" s="3"/>
      <c r="G656" s="3"/>
      <c r="H656" s="3"/>
      <c r="I656" s="3"/>
      <c r="J656" s="39"/>
    </row>
    <row r="657" s="1" customFormat="1" spans="4:10">
      <c r="D657" s="2"/>
      <c r="E657" s="3"/>
      <c r="F657" s="3"/>
      <c r="G657" s="3"/>
      <c r="H657" s="3"/>
      <c r="I657" s="3"/>
      <c r="J657" s="39"/>
    </row>
    <row r="658" s="1" customFormat="1" spans="4:10">
      <c r="D658" s="2"/>
      <c r="E658" s="3"/>
      <c r="F658" s="3"/>
      <c r="G658" s="3"/>
      <c r="H658" s="3"/>
      <c r="I658" s="3"/>
      <c r="J658" s="39"/>
    </row>
    <row r="659" s="1" customFormat="1" spans="4:10">
      <c r="D659" s="2"/>
      <c r="E659" s="3"/>
      <c r="F659" s="3"/>
      <c r="G659" s="3"/>
      <c r="H659" s="3"/>
      <c r="I659" s="3"/>
      <c r="J659" s="39"/>
    </row>
    <row r="660" s="1" customFormat="1" spans="4:10">
      <c r="D660" s="2"/>
      <c r="E660" s="3"/>
      <c r="F660" s="3"/>
      <c r="G660" s="3"/>
      <c r="H660" s="3"/>
      <c r="I660" s="3"/>
      <c r="J660" s="39"/>
    </row>
    <row r="661" s="1" customFormat="1" spans="4:10">
      <c r="D661" s="2"/>
      <c r="E661" s="3"/>
      <c r="F661" s="3"/>
      <c r="G661" s="3"/>
      <c r="H661" s="3"/>
      <c r="I661" s="3"/>
      <c r="J661" s="39"/>
    </row>
    <row r="662" s="1" customFormat="1" spans="4:10">
      <c r="D662" s="2"/>
      <c r="E662" s="3"/>
      <c r="F662" s="3"/>
      <c r="G662" s="3"/>
      <c r="H662" s="3"/>
      <c r="I662" s="3"/>
      <c r="J662" s="39"/>
    </row>
    <row r="663" s="1" customFormat="1" spans="4:10">
      <c r="D663" s="2"/>
      <c r="E663" s="3"/>
      <c r="F663" s="3"/>
      <c r="G663" s="3"/>
      <c r="H663" s="3"/>
      <c r="I663" s="3"/>
      <c r="J663" s="39"/>
    </row>
    <row r="664" s="1" customFormat="1" spans="4:10">
      <c r="D664" s="2"/>
      <c r="E664" s="3"/>
      <c r="F664" s="3"/>
      <c r="G664" s="3"/>
      <c r="H664" s="3"/>
      <c r="I664" s="3"/>
      <c r="J664" s="39"/>
    </row>
    <row r="665" s="1" customFormat="1" spans="4:10">
      <c r="D665" s="2"/>
      <c r="E665" s="3"/>
      <c r="F665" s="3"/>
      <c r="G665" s="3"/>
      <c r="H665" s="3"/>
      <c r="I665" s="3"/>
      <c r="J665" s="39"/>
    </row>
    <row r="666" s="1" customFormat="1" spans="4:10">
      <c r="D666" s="2"/>
      <c r="E666" s="3"/>
      <c r="F666" s="3"/>
      <c r="G666" s="3"/>
      <c r="H666" s="3"/>
      <c r="I666" s="3"/>
      <c r="J666" s="39"/>
    </row>
    <row r="667" s="1" customFormat="1" spans="4:10">
      <c r="D667" s="2"/>
      <c r="E667" s="3"/>
      <c r="F667" s="3"/>
      <c r="G667" s="3"/>
      <c r="H667" s="3"/>
      <c r="I667" s="3"/>
      <c r="J667" s="39"/>
    </row>
    <row r="668" s="1" customFormat="1" spans="4:10">
      <c r="D668" s="2"/>
      <c r="E668" s="3"/>
      <c r="F668" s="3"/>
      <c r="G668" s="3"/>
      <c r="H668" s="3"/>
      <c r="I668" s="3"/>
      <c r="J668" s="39"/>
    </row>
    <row r="669" s="1" customFormat="1" spans="4:10">
      <c r="D669" s="2"/>
      <c r="E669" s="3"/>
      <c r="F669" s="3"/>
      <c r="G669" s="3"/>
      <c r="H669" s="3"/>
      <c r="I669" s="3"/>
      <c r="J669" s="39"/>
    </row>
    <row r="670" s="1" customFormat="1" spans="4:10">
      <c r="D670" s="2"/>
      <c r="E670" s="3"/>
      <c r="F670" s="3"/>
      <c r="G670" s="3"/>
      <c r="H670" s="3"/>
      <c r="I670" s="3"/>
      <c r="J670" s="39"/>
    </row>
    <row r="671" s="1" customFormat="1" spans="4:10">
      <c r="D671" s="2"/>
      <c r="E671" s="3"/>
      <c r="F671" s="3"/>
      <c r="G671" s="3"/>
      <c r="H671" s="3"/>
      <c r="I671" s="3"/>
      <c r="J671" s="39"/>
    </row>
    <row r="672" s="1" customFormat="1" spans="4:10">
      <c r="D672" s="2"/>
      <c r="E672" s="3"/>
      <c r="F672" s="3"/>
      <c r="G672" s="3"/>
      <c r="H672" s="3"/>
      <c r="I672" s="3"/>
      <c r="J672" s="39"/>
    </row>
    <row r="673" s="1" customFormat="1" spans="4:10">
      <c r="D673" s="2"/>
      <c r="E673" s="3"/>
      <c r="F673" s="3"/>
      <c r="G673" s="3"/>
      <c r="H673" s="3"/>
      <c r="I673" s="3"/>
      <c r="J673" s="39"/>
    </row>
    <row r="674" s="1" customFormat="1" spans="4:10">
      <c r="D674" s="2"/>
      <c r="E674" s="3"/>
      <c r="F674" s="3"/>
      <c r="G674" s="3"/>
      <c r="H674" s="3"/>
      <c r="I674" s="3"/>
      <c r="J674" s="39"/>
    </row>
    <row r="675" s="1" customFormat="1" spans="4:10">
      <c r="D675" s="2"/>
      <c r="E675" s="3"/>
      <c r="F675" s="3"/>
      <c r="G675" s="3"/>
      <c r="H675" s="3"/>
      <c r="I675" s="3"/>
      <c r="J675" s="39"/>
    </row>
    <row r="676" s="1" customFormat="1" spans="4:10">
      <c r="D676" s="2"/>
      <c r="E676" s="3"/>
      <c r="F676" s="3"/>
      <c r="G676" s="3"/>
      <c r="H676" s="3"/>
      <c r="I676" s="3"/>
      <c r="J676" s="39"/>
    </row>
    <row r="677" s="1" customFormat="1" spans="4:10">
      <c r="D677" s="2"/>
      <c r="E677" s="3"/>
      <c r="F677" s="3"/>
      <c r="G677" s="3"/>
      <c r="H677" s="3"/>
      <c r="I677" s="3"/>
      <c r="J677" s="39"/>
    </row>
    <row r="678" s="1" customFormat="1" spans="4:10">
      <c r="D678" s="2"/>
      <c r="E678" s="3"/>
      <c r="F678" s="3"/>
      <c r="G678" s="3"/>
      <c r="H678" s="3"/>
      <c r="I678" s="3"/>
      <c r="J678" s="39"/>
    </row>
    <row r="679" s="1" customFormat="1" spans="4:10">
      <c r="D679" s="2"/>
      <c r="E679" s="3"/>
      <c r="F679" s="3"/>
      <c r="G679" s="3"/>
      <c r="H679" s="3"/>
      <c r="I679" s="3"/>
      <c r="J679" s="39"/>
    </row>
    <row r="680" s="1" customFormat="1" spans="4:10">
      <c r="D680" s="2"/>
      <c r="E680" s="3"/>
      <c r="F680" s="3"/>
      <c r="G680" s="3"/>
      <c r="H680" s="3"/>
      <c r="I680" s="3"/>
      <c r="J680" s="39"/>
    </row>
    <row r="681" s="1" customFormat="1" spans="4:10">
      <c r="D681" s="2"/>
      <c r="E681" s="3"/>
      <c r="F681" s="3"/>
      <c r="G681" s="3"/>
      <c r="H681" s="3"/>
      <c r="I681" s="3"/>
      <c r="J681" s="39"/>
    </row>
    <row r="682" s="1" customFormat="1" spans="4:10">
      <c r="D682" s="2"/>
      <c r="E682" s="3"/>
      <c r="F682" s="3"/>
      <c r="G682" s="3"/>
      <c r="H682" s="3"/>
      <c r="I682" s="3"/>
      <c r="J682" s="39"/>
    </row>
    <row r="683" s="1" customFormat="1" spans="4:10">
      <c r="D683" s="2"/>
      <c r="E683" s="3"/>
      <c r="F683" s="3"/>
      <c r="G683" s="3"/>
      <c r="H683" s="3"/>
      <c r="I683" s="3"/>
      <c r="J683" s="39"/>
    </row>
    <row r="684" s="1" customFormat="1" spans="4:10">
      <c r="D684" s="2"/>
      <c r="E684" s="3"/>
      <c r="F684" s="3"/>
      <c r="G684" s="3"/>
      <c r="H684" s="3"/>
      <c r="I684" s="3"/>
      <c r="J684" s="39"/>
    </row>
    <row r="685" s="1" customFormat="1" spans="4:10">
      <c r="D685" s="2"/>
      <c r="E685" s="3"/>
      <c r="F685" s="3"/>
      <c r="G685" s="3"/>
      <c r="H685" s="3"/>
      <c r="I685" s="3"/>
      <c r="J685" s="39"/>
    </row>
    <row r="686" s="1" customFormat="1" spans="4:10">
      <c r="D686" s="2"/>
      <c r="E686" s="3"/>
      <c r="F686" s="3"/>
      <c r="G686" s="3"/>
      <c r="H686" s="3"/>
      <c r="I686" s="3"/>
      <c r="J686" s="39"/>
    </row>
    <row r="687" s="1" customFormat="1" spans="4:10">
      <c r="D687" s="2"/>
      <c r="E687" s="3"/>
      <c r="F687" s="3"/>
      <c r="G687" s="3"/>
      <c r="H687" s="3"/>
      <c r="I687" s="3"/>
      <c r="J687" s="39"/>
    </row>
    <row r="688" s="1" customFormat="1" spans="4:10">
      <c r="D688" s="2"/>
      <c r="E688" s="3"/>
      <c r="F688" s="3"/>
      <c r="G688" s="3"/>
      <c r="H688" s="3"/>
      <c r="I688" s="3"/>
      <c r="J688" s="39"/>
    </row>
    <row r="689" s="1" customFormat="1" spans="4:10">
      <c r="D689" s="2"/>
      <c r="E689" s="3"/>
      <c r="F689" s="3"/>
      <c r="G689" s="3"/>
      <c r="H689" s="3"/>
      <c r="I689" s="3"/>
      <c r="J689" s="39"/>
    </row>
    <row r="690" s="1" customFormat="1" spans="4:10">
      <c r="D690" s="2"/>
      <c r="E690" s="3"/>
      <c r="F690" s="3"/>
      <c r="G690" s="3"/>
      <c r="H690" s="3"/>
      <c r="I690" s="3"/>
      <c r="J690" s="39"/>
    </row>
    <row r="691" s="1" customFormat="1" spans="4:10">
      <c r="D691" s="2"/>
      <c r="E691" s="3"/>
      <c r="F691" s="3"/>
      <c r="G691" s="3"/>
      <c r="H691" s="3"/>
      <c r="I691" s="3"/>
      <c r="J691" s="39"/>
    </row>
    <row r="692" s="1" customFormat="1" spans="4:10">
      <c r="D692" s="2"/>
      <c r="E692" s="3"/>
      <c r="F692" s="3"/>
      <c r="G692" s="3"/>
      <c r="H692" s="3"/>
      <c r="I692" s="3"/>
      <c r="J692" s="39"/>
    </row>
    <row r="693" s="1" customFormat="1" spans="4:10">
      <c r="D693" s="2"/>
      <c r="E693" s="3"/>
      <c r="F693" s="3"/>
      <c r="G693" s="3"/>
      <c r="H693" s="3"/>
      <c r="I693" s="3"/>
      <c r="J693" s="39"/>
    </row>
    <row r="694" s="1" customFormat="1" spans="4:10">
      <c r="D694" s="2"/>
      <c r="E694" s="3"/>
      <c r="F694" s="3"/>
      <c r="G694" s="3"/>
      <c r="H694" s="3"/>
      <c r="I694" s="3"/>
      <c r="J694" s="39"/>
    </row>
    <row r="695" s="1" customFormat="1" spans="4:10">
      <c r="D695" s="2"/>
      <c r="E695" s="3"/>
      <c r="F695" s="3"/>
      <c r="G695" s="3"/>
      <c r="H695" s="3"/>
      <c r="I695" s="3"/>
      <c r="J695" s="39"/>
    </row>
    <row r="696" s="1" customFormat="1" spans="4:10">
      <c r="D696" s="2"/>
      <c r="E696" s="3"/>
      <c r="F696" s="3"/>
      <c r="G696" s="3"/>
      <c r="H696" s="3"/>
      <c r="I696" s="3"/>
      <c r="J696" s="39"/>
    </row>
    <row r="697" s="1" customFormat="1" spans="4:10">
      <c r="D697" s="2"/>
      <c r="E697" s="3"/>
      <c r="F697" s="3"/>
      <c r="G697" s="3"/>
      <c r="H697" s="3"/>
      <c r="I697" s="3"/>
      <c r="J697" s="39"/>
    </row>
    <row r="698" s="1" customFormat="1" spans="4:10">
      <c r="D698" s="2"/>
      <c r="E698" s="3"/>
      <c r="F698" s="3"/>
      <c r="G698" s="3"/>
      <c r="H698" s="3"/>
      <c r="I698" s="3"/>
      <c r="J698" s="39"/>
    </row>
    <row r="699" s="1" customFormat="1" spans="4:10">
      <c r="D699" s="2"/>
      <c r="E699" s="3"/>
      <c r="F699" s="3"/>
      <c r="G699" s="3"/>
      <c r="H699" s="3"/>
      <c r="I699" s="3"/>
      <c r="J699" s="39"/>
    </row>
    <row r="700" s="1" customFormat="1" spans="4:10">
      <c r="D700" s="2"/>
      <c r="E700" s="3"/>
      <c r="F700" s="3"/>
      <c r="G700" s="3"/>
      <c r="H700" s="3"/>
      <c r="I700" s="3"/>
      <c r="J700" s="39"/>
    </row>
    <row r="701" s="1" customFormat="1" spans="4:10">
      <c r="D701" s="2"/>
      <c r="E701" s="3"/>
      <c r="F701" s="3"/>
      <c r="G701" s="3"/>
      <c r="H701" s="3"/>
      <c r="I701" s="3"/>
      <c r="J701" s="39"/>
    </row>
    <row r="702" s="1" customFormat="1" spans="4:10">
      <c r="D702" s="2"/>
      <c r="E702" s="3"/>
      <c r="F702" s="3"/>
      <c r="G702" s="3"/>
      <c r="H702" s="3"/>
      <c r="I702" s="3"/>
      <c r="J702" s="39"/>
    </row>
    <row r="703" s="1" customFormat="1" spans="4:10">
      <c r="D703" s="2"/>
      <c r="E703" s="3"/>
      <c r="F703" s="3"/>
      <c r="G703" s="3"/>
      <c r="H703" s="3"/>
      <c r="I703" s="3"/>
      <c r="J703" s="39"/>
    </row>
    <row r="704" s="1" customFormat="1" spans="4:10">
      <c r="D704" s="2"/>
      <c r="E704" s="3"/>
      <c r="F704" s="3"/>
      <c r="G704" s="3"/>
      <c r="H704" s="3"/>
      <c r="I704" s="3"/>
      <c r="J704" s="39"/>
    </row>
    <row r="705" s="1" customFormat="1" spans="4:10">
      <c r="D705" s="2"/>
      <c r="E705" s="3"/>
      <c r="F705" s="3"/>
      <c r="G705" s="3"/>
      <c r="H705" s="3"/>
      <c r="I705" s="3"/>
      <c r="J705" s="39"/>
    </row>
    <row r="706" s="1" customFormat="1" spans="4:10">
      <c r="D706" s="2"/>
      <c r="E706" s="3"/>
      <c r="F706" s="3"/>
      <c r="G706" s="3"/>
      <c r="H706" s="3"/>
      <c r="I706" s="3"/>
      <c r="J706" s="39"/>
    </row>
    <row r="707" s="1" customFormat="1" spans="4:10">
      <c r="D707" s="2"/>
      <c r="E707" s="3"/>
      <c r="F707" s="3"/>
      <c r="G707" s="3"/>
      <c r="H707" s="3"/>
      <c r="I707" s="3"/>
      <c r="J707" s="39"/>
    </row>
    <row r="708" s="1" customFormat="1" spans="4:10">
      <c r="D708" s="2"/>
      <c r="E708" s="3"/>
      <c r="F708" s="3"/>
      <c r="G708" s="3"/>
      <c r="H708" s="3"/>
      <c r="I708" s="3"/>
      <c r="J708" s="39"/>
    </row>
    <row r="709" s="1" customFormat="1" spans="4:10">
      <c r="D709" s="2"/>
      <c r="E709" s="3"/>
      <c r="F709" s="3"/>
      <c r="G709" s="3"/>
      <c r="H709" s="3"/>
      <c r="I709" s="3"/>
      <c r="J709" s="39"/>
    </row>
    <row r="710" s="1" customFormat="1" spans="4:10">
      <c r="D710" s="2"/>
      <c r="E710" s="3"/>
      <c r="F710" s="3"/>
      <c r="G710" s="3"/>
      <c r="H710" s="3"/>
      <c r="I710" s="3"/>
      <c r="J710" s="39"/>
    </row>
    <row r="711" s="1" customFormat="1" spans="4:10">
      <c r="D711" s="2"/>
      <c r="E711" s="3"/>
      <c r="F711" s="3"/>
      <c r="G711" s="3"/>
      <c r="H711" s="3"/>
      <c r="I711" s="3"/>
      <c r="J711" s="39"/>
    </row>
    <row r="712" s="1" customFormat="1" spans="4:10">
      <c r="D712" s="2"/>
      <c r="E712" s="3"/>
      <c r="F712" s="3"/>
      <c r="G712" s="3"/>
      <c r="H712" s="3"/>
      <c r="I712" s="3"/>
      <c r="J712" s="39"/>
    </row>
    <row r="713" s="1" customFormat="1" spans="4:10">
      <c r="D713" s="2"/>
      <c r="E713" s="3"/>
      <c r="F713" s="3"/>
      <c r="G713" s="3"/>
      <c r="H713" s="3"/>
      <c r="I713" s="3"/>
      <c r="J713" s="39"/>
    </row>
    <row r="714" s="1" customFormat="1" spans="4:10">
      <c r="D714" s="2"/>
      <c r="E714" s="3"/>
      <c r="F714" s="3"/>
      <c r="G714" s="3"/>
      <c r="H714" s="3"/>
      <c r="I714" s="3"/>
      <c r="J714" s="39"/>
    </row>
    <row r="715" s="1" customFormat="1" spans="4:10">
      <c r="D715" s="2"/>
      <c r="E715" s="3"/>
      <c r="F715" s="3"/>
      <c r="G715" s="3"/>
      <c r="H715" s="3"/>
      <c r="I715" s="3"/>
      <c r="J715" s="39"/>
    </row>
    <row r="716" s="1" customFormat="1" spans="4:10">
      <c r="D716" s="2"/>
      <c r="E716" s="3"/>
      <c r="F716" s="3"/>
      <c r="G716" s="3"/>
      <c r="H716" s="3"/>
      <c r="I716" s="3"/>
      <c r="J716" s="39"/>
    </row>
    <row r="717" s="1" customFormat="1" spans="4:10">
      <c r="D717" s="2"/>
      <c r="E717" s="3"/>
      <c r="F717" s="3"/>
      <c r="G717" s="3"/>
      <c r="H717" s="3"/>
      <c r="I717" s="3"/>
      <c r="J717" s="39"/>
    </row>
    <row r="718" s="1" customFormat="1" spans="4:10">
      <c r="D718" s="2"/>
      <c r="E718" s="3"/>
      <c r="F718" s="3"/>
      <c r="G718" s="3"/>
      <c r="H718" s="3"/>
      <c r="I718" s="3"/>
      <c r="J718" s="39"/>
    </row>
    <row r="719" s="1" customFormat="1" spans="4:10">
      <c r="D719" s="2"/>
      <c r="E719" s="3"/>
      <c r="F719" s="3"/>
      <c r="G719" s="3"/>
      <c r="H719" s="3"/>
      <c r="I719" s="3"/>
      <c r="J719" s="39"/>
    </row>
    <row r="720" s="1" customFormat="1" spans="4:10">
      <c r="D720" s="2"/>
      <c r="E720" s="3"/>
      <c r="F720" s="3"/>
      <c r="G720" s="3"/>
      <c r="H720" s="3"/>
      <c r="I720" s="3"/>
      <c r="J720" s="39"/>
    </row>
    <row r="721" s="1" customFormat="1" spans="4:10">
      <c r="D721" s="2"/>
      <c r="E721" s="3"/>
      <c r="F721" s="3"/>
      <c r="G721" s="3"/>
      <c r="H721" s="3"/>
      <c r="I721" s="3"/>
      <c r="J721" s="39"/>
    </row>
    <row r="722" s="1" customFormat="1" spans="4:10">
      <c r="D722" s="2"/>
      <c r="E722" s="3"/>
      <c r="F722" s="3"/>
      <c r="G722" s="3"/>
      <c r="H722" s="3"/>
      <c r="I722" s="3"/>
      <c r="J722" s="39"/>
    </row>
    <row r="723" s="1" customFormat="1" spans="4:10">
      <c r="D723" s="2"/>
      <c r="E723" s="3"/>
      <c r="F723" s="3"/>
      <c r="G723" s="3"/>
      <c r="H723" s="3"/>
      <c r="I723" s="3"/>
      <c r="J723" s="39"/>
    </row>
    <row r="724" s="1" customFormat="1" spans="4:10">
      <c r="D724" s="2"/>
      <c r="E724" s="3"/>
      <c r="F724" s="3"/>
      <c r="G724" s="3"/>
      <c r="H724" s="3"/>
      <c r="I724" s="3"/>
      <c r="J724" s="39"/>
    </row>
    <row r="725" s="1" customFormat="1" spans="4:10">
      <c r="D725" s="2"/>
      <c r="E725" s="3"/>
      <c r="F725" s="3"/>
      <c r="G725" s="3"/>
      <c r="H725" s="3"/>
      <c r="I725" s="3"/>
      <c r="J725" s="39"/>
    </row>
    <row r="726" s="1" customFormat="1" spans="4:10">
      <c r="D726" s="2"/>
      <c r="E726" s="3"/>
      <c r="F726" s="3"/>
      <c r="G726" s="3"/>
      <c r="H726" s="3"/>
      <c r="I726" s="3"/>
      <c r="J726" s="39"/>
    </row>
    <row r="727" s="1" customFormat="1" spans="4:10">
      <c r="D727" s="2"/>
      <c r="E727" s="3"/>
      <c r="F727" s="3"/>
      <c r="G727" s="3"/>
      <c r="H727" s="3"/>
      <c r="I727" s="3"/>
      <c r="J727" s="39"/>
    </row>
    <row r="728" s="1" customFormat="1" spans="4:10">
      <c r="D728" s="2"/>
      <c r="E728" s="3"/>
      <c r="F728" s="3"/>
      <c r="G728" s="3"/>
      <c r="H728" s="3"/>
      <c r="I728" s="3"/>
      <c r="J728" s="39"/>
    </row>
    <row r="729" s="1" customFormat="1" spans="4:10">
      <c r="D729" s="2"/>
      <c r="E729" s="3"/>
      <c r="F729" s="3"/>
      <c r="G729" s="3"/>
      <c r="H729" s="3"/>
      <c r="I729" s="3"/>
      <c r="J729" s="39"/>
    </row>
    <row r="730" s="1" customFormat="1" spans="4:10">
      <c r="D730" s="2"/>
      <c r="E730" s="3"/>
      <c r="F730" s="3"/>
      <c r="G730" s="3"/>
      <c r="H730" s="3"/>
      <c r="I730" s="3"/>
      <c r="J730" s="39"/>
    </row>
    <row r="731" s="1" customFormat="1" spans="4:10">
      <c r="D731" s="2"/>
      <c r="E731" s="3"/>
      <c r="F731" s="3"/>
      <c r="G731" s="3"/>
      <c r="H731" s="3"/>
      <c r="I731" s="3"/>
      <c r="J731" s="39"/>
    </row>
    <row r="732" s="1" customFormat="1" spans="4:10">
      <c r="D732" s="2"/>
      <c r="E732" s="3"/>
      <c r="F732" s="3"/>
      <c r="G732" s="3"/>
      <c r="H732" s="3"/>
      <c r="I732" s="3"/>
      <c r="J732" s="39"/>
    </row>
    <row r="733" s="1" customFormat="1" spans="4:10">
      <c r="D733" s="2"/>
      <c r="E733" s="3"/>
      <c r="F733" s="3"/>
      <c r="G733" s="3"/>
      <c r="H733" s="3"/>
      <c r="I733" s="3"/>
      <c r="J733" s="39"/>
    </row>
    <row r="734" s="1" customFormat="1" spans="4:10">
      <c r="D734" s="2"/>
      <c r="E734" s="3"/>
      <c r="F734" s="3"/>
      <c r="G734" s="3"/>
      <c r="H734" s="3"/>
      <c r="I734" s="3"/>
      <c r="J734" s="39"/>
    </row>
    <row r="735" s="1" customFormat="1" spans="4:10">
      <c r="D735" s="2"/>
      <c r="E735" s="3"/>
      <c r="F735" s="3"/>
      <c r="G735" s="3"/>
      <c r="H735" s="3"/>
      <c r="I735" s="3"/>
      <c r="J735" s="39"/>
    </row>
    <row r="736" s="1" customFormat="1" spans="4:10">
      <c r="D736" s="2"/>
      <c r="E736" s="3"/>
      <c r="F736" s="3"/>
      <c r="G736" s="3"/>
      <c r="H736" s="3"/>
      <c r="I736" s="3"/>
      <c r="J736" s="39"/>
    </row>
    <row r="737" s="1" customFormat="1" spans="4:10">
      <c r="D737" s="2"/>
      <c r="E737" s="3"/>
      <c r="F737" s="3"/>
      <c r="G737" s="3"/>
      <c r="H737" s="3"/>
      <c r="I737" s="3"/>
      <c r="J737" s="39"/>
    </row>
    <row r="738" s="1" customFormat="1" spans="4:10">
      <c r="D738" s="2"/>
      <c r="E738" s="3"/>
      <c r="F738" s="3"/>
      <c r="G738" s="3"/>
      <c r="H738" s="3"/>
      <c r="I738" s="3"/>
      <c r="J738" s="39"/>
    </row>
    <row r="739" s="1" customFormat="1" spans="4:10">
      <c r="D739" s="2"/>
      <c r="E739" s="3"/>
      <c r="F739" s="3"/>
      <c r="G739" s="3"/>
      <c r="H739" s="3"/>
      <c r="I739" s="3"/>
      <c r="J739" s="39"/>
    </row>
    <row r="740" s="1" customFormat="1" spans="4:10">
      <c r="D740" s="2"/>
      <c r="E740" s="3"/>
      <c r="F740" s="3"/>
      <c r="G740" s="3"/>
      <c r="H740" s="3"/>
      <c r="I740" s="3"/>
      <c r="J740" s="39"/>
    </row>
    <row r="741" s="1" customFormat="1" spans="4:10">
      <c r="D741" s="2"/>
      <c r="E741" s="3"/>
      <c r="F741" s="3"/>
      <c r="G741" s="3"/>
      <c r="H741" s="3"/>
      <c r="I741" s="3"/>
      <c r="J741" s="39"/>
    </row>
    <row r="742" s="1" customFormat="1" spans="4:10">
      <c r="D742" s="2"/>
      <c r="E742" s="3"/>
      <c r="F742" s="3"/>
      <c r="G742" s="3"/>
      <c r="H742" s="3"/>
      <c r="I742" s="3"/>
      <c r="J742" s="39"/>
    </row>
    <row r="743" s="1" customFormat="1" spans="4:10">
      <c r="D743" s="2"/>
      <c r="E743" s="3"/>
      <c r="F743" s="3"/>
      <c r="G743" s="3"/>
      <c r="H743" s="3"/>
      <c r="I743" s="3"/>
      <c r="J743" s="39"/>
    </row>
    <row r="744" s="1" customFormat="1" spans="4:10">
      <c r="D744" s="2"/>
      <c r="E744" s="3"/>
      <c r="F744" s="3"/>
      <c r="G744" s="3"/>
      <c r="H744" s="3"/>
      <c r="I744" s="3"/>
      <c r="J744" s="39"/>
    </row>
    <row r="745" s="1" customFormat="1" spans="4:10">
      <c r="D745" s="2"/>
      <c r="E745" s="3"/>
      <c r="F745" s="3"/>
      <c r="G745" s="3"/>
      <c r="H745" s="3"/>
      <c r="I745" s="3"/>
      <c r="J745" s="39"/>
    </row>
    <row r="746" s="1" customFormat="1" spans="4:10">
      <c r="D746" s="2"/>
      <c r="E746" s="3"/>
      <c r="F746" s="3"/>
      <c r="G746" s="3"/>
      <c r="H746" s="3"/>
      <c r="I746" s="3"/>
      <c r="J746" s="39"/>
    </row>
    <row r="747" s="1" customFormat="1" spans="4:10">
      <c r="D747" s="2"/>
      <c r="E747" s="3"/>
      <c r="F747" s="3"/>
      <c r="G747" s="3"/>
      <c r="H747" s="3"/>
      <c r="I747" s="3"/>
      <c r="J747" s="39"/>
    </row>
    <row r="748" s="1" customFormat="1" spans="4:10">
      <c r="D748" s="2"/>
      <c r="E748" s="3"/>
      <c r="F748" s="3"/>
      <c r="G748" s="3"/>
      <c r="H748" s="3"/>
      <c r="I748" s="3"/>
      <c r="J748" s="39"/>
    </row>
    <row r="749" s="1" customFormat="1" spans="4:10">
      <c r="D749" s="2"/>
      <c r="E749" s="3"/>
      <c r="F749" s="3"/>
      <c r="G749" s="3"/>
      <c r="H749" s="3"/>
      <c r="I749" s="3"/>
      <c r="J749" s="39"/>
    </row>
    <row r="750" s="1" customFormat="1" spans="4:10">
      <c r="D750" s="2"/>
      <c r="E750" s="3"/>
      <c r="F750" s="3"/>
      <c r="G750" s="3"/>
      <c r="H750" s="3"/>
      <c r="I750" s="3"/>
      <c r="J750" s="39"/>
    </row>
    <row r="751" s="1" customFormat="1" spans="4:10">
      <c r="D751" s="2"/>
      <c r="E751" s="3"/>
      <c r="F751" s="3"/>
      <c r="G751" s="3"/>
      <c r="H751" s="3"/>
      <c r="I751" s="3"/>
      <c r="J751" s="39"/>
    </row>
    <row r="752" s="1" customFormat="1" spans="4:10">
      <c r="D752" s="2"/>
      <c r="E752" s="3"/>
      <c r="F752" s="3"/>
      <c r="G752" s="3"/>
      <c r="H752" s="3"/>
      <c r="I752" s="3"/>
      <c r="J752" s="39"/>
    </row>
    <row r="753" s="1" customFormat="1" spans="4:10">
      <c r="D753" s="2"/>
      <c r="E753" s="3"/>
      <c r="F753" s="3"/>
      <c r="G753" s="3"/>
      <c r="H753" s="3"/>
      <c r="I753" s="3"/>
      <c r="J753" s="39"/>
    </row>
    <row r="754" s="1" customFormat="1" spans="4:10">
      <c r="D754" s="2"/>
      <c r="E754" s="3"/>
      <c r="F754" s="3"/>
      <c r="G754" s="3"/>
      <c r="H754" s="3"/>
      <c r="I754" s="3"/>
      <c r="J754" s="39"/>
    </row>
    <row r="755" s="1" customFormat="1" spans="4:10">
      <c r="D755" s="2"/>
      <c r="E755" s="3"/>
      <c r="F755" s="3"/>
      <c r="G755" s="3"/>
      <c r="H755" s="3"/>
      <c r="I755" s="3"/>
      <c r="J755" s="39"/>
    </row>
    <row r="756" s="1" customFormat="1" spans="4:10">
      <c r="D756" s="2"/>
      <c r="E756" s="3"/>
      <c r="F756" s="3"/>
      <c r="G756" s="3"/>
      <c r="H756" s="3"/>
      <c r="I756" s="3"/>
      <c r="J756" s="39"/>
    </row>
    <row r="757" s="1" customFormat="1" spans="4:10">
      <c r="D757" s="2"/>
      <c r="E757" s="3"/>
      <c r="F757" s="3"/>
      <c r="G757" s="3"/>
      <c r="H757" s="3"/>
      <c r="I757" s="3"/>
      <c r="J757" s="39"/>
    </row>
    <row r="758" s="1" customFormat="1" spans="4:10">
      <c r="D758" s="2"/>
      <c r="E758" s="3"/>
      <c r="F758" s="3"/>
      <c r="G758" s="3"/>
      <c r="H758" s="3"/>
      <c r="I758" s="3"/>
      <c r="J758" s="39"/>
    </row>
    <row r="759" s="1" customFormat="1" spans="4:10">
      <c r="D759" s="2"/>
      <c r="E759" s="3"/>
      <c r="F759" s="3"/>
      <c r="G759" s="3"/>
      <c r="H759" s="3"/>
      <c r="I759" s="3"/>
      <c r="J759" s="39"/>
    </row>
    <row r="760" s="1" customFormat="1" spans="4:10">
      <c r="D760" s="2"/>
      <c r="E760" s="3"/>
      <c r="F760" s="3"/>
      <c r="G760" s="3"/>
      <c r="H760" s="3"/>
      <c r="I760" s="3"/>
      <c r="J760" s="39"/>
    </row>
    <row r="761" s="1" customFormat="1" spans="4:10">
      <c r="D761" s="2"/>
      <c r="E761" s="3"/>
      <c r="F761" s="3"/>
      <c r="G761" s="3"/>
      <c r="H761" s="3"/>
      <c r="I761" s="3"/>
      <c r="J761" s="39"/>
    </row>
    <row r="762" s="1" customFormat="1" spans="4:10">
      <c r="D762" s="2"/>
      <c r="E762" s="3"/>
      <c r="F762" s="3"/>
      <c r="G762" s="3"/>
      <c r="H762" s="3"/>
      <c r="I762" s="3"/>
      <c r="J762" s="39"/>
    </row>
    <row r="763" s="1" customFormat="1" spans="4:10">
      <c r="D763" s="2"/>
      <c r="E763" s="3"/>
      <c r="F763" s="3"/>
      <c r="G763" s="3"/>
      <c r="H763" s="3"/>
      <c r="I763" s="3"/>
      <c r="J763" s="39"/>
    </row>
    <row r="764" s="1" customFormat="1" spans="4:10">
      <c r="D764" s="2"/>
      <c r="E764" s="3"/>
      <c r="F764" s="3"/>
      <c r="G764" s="3"/>
      <c r="H764" s="3"/>
      <c r="I764" s="3"/>
      <c r="J764" s="39"/>
    </row>
    <row r="765" s="1" customFormat="1" spans="4:10">
      <c r="D765" s="2"/>
      <c r="E765" s="3"/>
      <c r="F765" s="3"/>
      <c r="G765" s="3"/>
      <c r="H765" s="3"/>
      <c r="I765" s="3"/>
      <c r="J765" s="39"/>
    </row>
    <row r="766" s="1" customFormat="1" spans="4:10">
      <c r="D766" s="2"/>
      <c r="E766" s="3"/>
      <c r="F766" s="3"/>
      <c r="G766" s="3"/>
      <c r="H766" s="3"/>
      <c r="I766" s="3"/>
      <c r="J766" s="39"/>
    </row>
    <row r="767" s="1" customFormat="1" spans="4:10">
      <c r="D767" s="2"/>
      <c r="E767" s="3"/>
      <c r="F767" s="3"/>
      <c r="G767" s="3"/>
      <c r="H767" s="3"/>
      <c r="I767" s="3"/>
      <c r="J767" s="39"/>
    </row>
    <row r="768" s="1" customFormat="1" spans="4:10">
      <c r="D768" s="2"/>
      <c r="E768" s="3"/>
      <c r="F768" s="3"/>
      <c r="G768" s="3"/>
      <c r="H768" s="3"/>
      <c r="I768" s="3"/>
      <c r="J768" s="39"/>
    </row>
    <row r="769" s="1" customFormat="1" spans="4:10">
      <c r="D769" s="2"/>
      <c r="E769" s="3"/>
      <c r="F769" s="3"/>
      <c r="G769" s="3"/>
      <c r="H769" s="3"/>
      <c r="I769" s="3"/>
      <c r="J769" s="39"/>
    </row>
    <row r="770" s="1" customFormat="1" spans="4:10">
      <c r="D770" s="2"/>
      <c r="E770" s="3"/>
      <c r="F770" s="3"/>
      <c r="G770" s="3"/>
      <c r="H770" s="3"/>
      <c r="I770" s="3"/>
      <c r="J770" s="39"/>
    </row>
    <row r="771" s="1" customFormat="1" spans="4:10">
      <c r="D771" s="2"/>
      <c r="E771" s="3"/>
      <c r="F771" s="3"/>
      <c r="G771" s="3"/>
      <c r="H771" s="3"/>
      <c r="I771" s="3"/>
      <c r="J771" s="39"/>
    </row>
    <row r="772" s="1" customFormat="1" spans="4:10">
      <c r="D772" s="2"/>
      <c r="E772" s="3"/>
      <c r="F772" s="3"/>
      <c r="G772" s="3"/>
      <c r="H772" s="3"/>
      <c r="I772" s="3"/>
      <c r="J772" s="39"/>
    </row>
    <row r="773" s="1" customFormat="1" spans="4:10">
      <c r="D773" s="2"/>
      <c r="E773" s="3"/>
      <c r="F773" s="3"/>
      <c r="G773" s="3"/>
      <c r="H773" s="3"/>
      <c r="I773" s="3"/>
      <c r="J773" s="39"/>
    </row>
    <row r="774" s="1" customFormat="1" spans="4:10">
      <c r="D774" s="2"/>
      <c r="E774" s="3"/>
      <c r="F774" s="3"/>
      <c r="G774" s="3"/>
      <c r="H774" s="3"/>
      <c r="I774" s="3"/>
      <c r="J774" s="39"/>
    </row>
    <row r="775" s="1" customFormat="1" spans="4:10">
      <c r="D775" s="2"/>
      <c r="E775" s="3"/>
      <c r="F775" s="3"/>
      <c r="G775" s="3"/>
      <c r="H775" s="3"/>
      <c r="I775" s="3"/>
      <c r="J775" s="39"/>
    </row>
    <row r="776" s="1" customFormat="1" spans="4:10">
      <c r="D776" s="2"/>
      <c r="E776" s="3"/>
      <c r="F776" s="3"/>
      <c r="G776" s="3"/>
      <c r="H776" s="3"/>
      <c r="I776" s="3"/>
      <c r="J776" s="39"/>
    </row>
    <row r="777" s="1" customFormat="1" spans="4:10">
      <c r="D777" s="2"/>
      <c r="E777" s="3"/>
      <c r="F777" s="3"/>
      <c r="G777" s="3"/>
      <c r="H777" s="3"/>
      <c r="I777" s="3"/>
      <c r="J777" s="39"/>
    </row>
    <row r="778" s="1" customFormat="1" spans="4:10">
      <c r="D778" s="2"/>
      <c r="E778" s="3"/>
      <c r="F778" s="3"/>
      <c r="G778" s="3"/>
      <c r="H778" s="3"/>
      <c r="I778" s="3"/>
      <c r="J778" s="39"/>
    </row>
    <row r="779" s="1" customFormat="1" spans="4:10">
      <c r="D779" s="2"/>
      <c r="E779" s="3"/>
      <c r="F779" s="3"/>
      <c r="G779" s="3"/>
      <c r="H779" s="3"/>
      <c r="I779" s="3"/>
      <c r="J779" s="39"/>
    </row>
    <row r="780" s="1" customFormat="1" spans="4:10">
      <c r="D780" s="2"/>
      <c r="E780" s="3"/>
      <c r="F780" s="3"/>
      <c r="G780" s="3"/>
      <c r="H780" s="3"/>
      <c r="I780" s="3"/>
      <c r="J780" s="39"/>
    </row>
    <row r="781" s="1" customFormat="1" spans="4:10">
      <c r="D781" s="2"/>
      <c r="E781" s="3"/>
      <c r="F781" s="3"/>
      <c r="G781" s="3"/>
      <c r="H781" s="3"/>
      <c r="I781" s="3"/>
      <c r="J781" s="39"/>
    </row>
    <row r="782" s="1" customFormat="1" spans="4:10">
      <c r="D782" s="2"/>
      <c r="E782" s="3"/>
      <c r="F782" s="3"/>
      <c r="G782" s="3"/>
      <c r="H782" s="3"/>
      <c r="I782" s="3"/>
      <c r="J782" s="39"/>
    </row>
    <row r="783" s="1" customFormat="1" spans="4:10">
      <c r="D783" s="2"/>
      <c r="E783" s="3"/>
      <c r="F783" s="3"/>
      <c r="G783" s="3"/>
      <c r="H783" s="3"/>
      <c r="I783" s="3"/>
      <c r="J783" s="39"/>
    </row>
    <row r="784" s="1" customFormat="1" spans="4:10">
      <c r="D784" s="2"/>
      <c r="E784" s="3"/>
      <c r="F784" s="3"/>
      <c r="G784" s="3"/>
      <c r="H784" s="3"/>
      <c r="I784" s="3"/>
      <c r="J784" s="39"/>
    </row>
    <row r="785" s="1" customFormat="1" spans="4:10">
      <c r="D785" s="2"/>
      <c r="E785" s="3"/>
      <c r="F785" s="3"/>
      <c r="G785" s="3"/>
      <c r="H785" s="3"/>
      <c r="I785" s="3"/>
      <c r="J785" s="39"/>
    </row>
    <row r="786" s="1" customFormat="1" spans="4:10">
      <c r="D786" s="2"/>
      <c r="E786" s="3"/>
      <c r="F786" s="3"/>
      <c r="G786" s="3"/>
      <c r="H786" s="3"/>
      <c r="I786" s="3"/>
      <c r="J786" s="39"/>
    </row>
    <row r="787" s="1" customFormat="1" spans="4:10">
      <c r="D787" s="2"/>
      <c r="E787" s="3"/>
      <c r="F787" s="3"/>
      <c r="G787" s="3"/>
      <c r="H787" s="3"/>
      <c r="I787" s="3"/>
      <c r="J787" s="39"/>
    </row>
    <row r="788" s="1" customFormat="1" spans="4:10">
      <c r="D788" s="2"/>
      <c r="E788" s="3"/>
      <c r="F788" s="3"/>
      <c r="G788" s="3"/>
      <c r="H788" s="3"/>
      <c r="I788" s="3"/>
      <c r="J788" s="39"/>
    </row>
    <row r="789" s="1" customFormat="1" spans="4:10">
      <c r="D789" s="2"/>
      <c r="E789" s="3"/>
      <c r="F789" s="3"/>
      <c r="G789" s="3"/>
      <c r="H789" s="3"/>
      <c r="I789" s="3"/>
      <c r="J789" s="39"/>
    </row>
    <row r="790" s="1" customFormat="1" spans="4:10">
      <c r="D790" s="2"/>
      <c r="E790" s="3"/>
      <c r="F790" s="3"/>
      <c r="G790" s="3"/>
      <c r="H790" s="3"/>
      <c r="I790" s="3"/>
      <c r="J790" s="39"/>
    </row>
    <row r="791" s="1" customFormat="1" spans="4:10">
      <c r="D791" s="2"/>
      <c r="E791" s="3"/>
      <c r="F791" s="3"/>
      <c r="G791" s="3"/>
      <c r="H791" s="3"/>
      <c r="I791" s="3"/>
      <c r="J791" s="39"/>
    </row>
    <row r="792" s="1" customFormat="1" spans="4:10">
      <c r="D792" s="2"/>
      <c r="E792" s="3"/>
      <c r="F792" s="3"/>
      <c r="G792" s="3"/>
      <c r="H792" s="3"/>
      <c r="I792" s="3"/>
      <c r="J792" s="39"/>
    </row>
    <row r="793" s="1" customFormat="1" spans="4:10">
      <c r="D793" s="2"/>
      <c r="E793" s="3"/>
      <c r="F793" s="3"/>
      <c r="G793" s="3"/>
      <c r="H793" s="3"/>
      <c r="I793" s="3"/>
      <c r="J793" s="39"/>
    </row>
    <row r="794" s="1" customFormat="1" spans="4:10">
      <c r="D794" s="2"/>
      <c r="E794" s="3"/>
      <c r="F794" s="3"/>
      <c r="G794" s="3"/>
      <c r="H794" s="3"/>
      <c r="I794" s="3"/>
      <c r="J794" s="39"/>
    </row>
    <row r="795" s="1" customFormat="1" spans="4:10">
      <c r="D795" s="2"/>
      <c r="E795" s="3"/>
      <c r="F795" s="3"/>
      <c r="G795" s="3"/>
      <c r="H795" s="3"/>
      <c r="I795" s="3"/>
      <c r="J795" s="39"/>
    </row>
    <row r="796" s="1" customFormat="1" spans="4:10">
      <c r="D796" s="2"/>
      <c r="E796" s="3"/>
      <c r="F796" s="3"/>
      <c r="G796" s="3"/>
      <c r="H796" s="3"/>
      <c r="I796" s="3"/>
      <c r="J796" s="39"/>
    </row>
    <row r="797" s="1" customFormat="1" spans="4:10">
      <c r="D797" s="2"/>
      <c r="E797" s="3"/>
      <c r="F797" s="3"/>
      <c r="G797" s="3"/>
      <c r="H797" s="3"/>
      <c r="I797" s="3"/>
      <c r="J797" s="39"/>
    </row>
    <row r="798" s="1" customFormat="1" spans="4:10">
      <c r="D798" s="2"/>
      <c r="E798" s="3"/>
      <c r="F798" s="3"/>
      <c r="G798" s="3"/>
      <c r="H798" s="3"/>
      <c r="I798" s="3"/>
      <c r="J798" s="39"/>
    </row>
    <row r="799" s="1" customFormat="1" spans="4:10">
      <c r="D799" s="2"/>
      <c r="E799" s="3"/>
      <c r="F799" s="3"/>
      <c r="G799" s="3"/>
      <c r="H799" s="3"/>
      <c r="I799" s="3"/>
      <c r="J799" s="39"/>
    </row>
    <row r="800" s="1" customFormat="1" spans="4:10">
      <c r="D800" s="2"/>
      <c r="E800" s="3"/>
      <c r="F800" s="3"/>
      <c r="G800" s="3"/>
      <c r="H800" s="3"/>
      <c r="I800" s="3"/>
      <c r="J800" s="39"/>
    </row>
    <row r="801" s="1" customFormat="1" spans="4:10">
      <c r="D801" s="2"/>
      <c r="E801" s="3"/>
      <c r="F801" s="3"/>
      <c r="G801" s="3"/>
      <c r="H801" s="3"/>
      <c r="I801" s="3"/>
      <c r="J801" s="39"/>
    </row>
    <row r="802" s="1" customFormat="1" spans="4:10">
      <c r="D802" s="2"/>
      <c r="E802" s="3"/>
      <c r="F802" s="3"/>
      <c r="G802" s="3"/>
      <c r="H802" s="3"/>
      <c r="I802" s="3"/>
      <c r="J802" s="39"/>
    </row>
    <row r="803" s="1" customFormat="1" spans="4:10">
      <c r="D803" s="2"/>
      <c r="E803" s="3"/>
      <c r="F803" s="3"/>
      <c r="G803" s="3"/>
      <c r="H803" s="3"/>
      <c r="I803" s="3"/>
      <c r="J803" s="39"/>
    </row>
    <row r="804" s="1" customFormat="1" spans="4:10">
      <c r="D804" s="2"/>
      <c r="E804" s="3"/>
      <c r="F804" s="3"/>
      <c r="G804" s="3"/>
      <c r="H804" s="3"/>
      <c r="I804" s="3"/>
      <c r="J804" s="39"/>
    </row>
    <row r="805" s="1" customFormat="1" spans="4:10">
      <c r="D805" s="2"/>
      <c r="E805" s="3"/>
      <c r="F805" s="3"/>
      <c r="G805" s="3"/>
      <c r="H805" s="3"/>
      <c r="I805" s="3"/>
      <c r="J805" s="39"/>
    </row>
    <row r="806" s="1" customFormat="1" spans="4:10">
      <c r="D806" s="2"/>
      <c r="E806" s="3"/>
      <c r="F806" s="3"/>
      <c r="G806" s="3"/>
      <c r="H806" s="3"/>
      <c r="I806" s="3"/>
      <c r="J806" s="39"/>
    </row>
    <row r="807" s="1" customFormat="1" spans="4:10">
      <c r="D807" s="2"/>
      <c r="E807" s="3"/>
      <c r="F807" s="3"/>
      <c r="G807" s="3"/>
      <c r="H807" s="3"/>
      <c r="I807" s="3"/>
      <c r="J807" s="39"/>
    </row>
    <row r="808" s="1" customFormat="1" spans="4:10">
      <c r="D808" s="2"/>
      <c r="E808" s="3"/>
      <c r="F808" s="3"/>
      <c r="G808" s="3"/>
      <c r="H808" s="3"/>
      <c r="I808" s="3"/>
      <c r="J808" s="39"/>
    </row>
    <row r="809" s="1" customFormat="1" spans="4:10">
      <c r="D809" s="2"/>
      <c r="E809" s="3"/>
      <c r="F809" s="3"/>
      <c r="G809" s="3"/>
      <c r="H809" s="3"/>
      <c r="I809" s="3"/>
      <c r="J809" s="39"/>
    </row>
    <row r="810" s="1" customFormat="1" spans="4:10">
      <c r="D810" s="2"/>
      <c r="E810" s="3"/>
      <c r="F810" s="3"/>
      <c r="G810" s="3"/>
      <c r="H810" s="3"/>
      <c r="I810" s="3"/>
      <c r="J810" s="39"/>
    </row>
    <row r="811" s="1" customFormat="1" spans="4:10">
      <c r="D811" s="2"/>
      <c r="E811" s="3"/>
      <c r="F811" s="3"/>
      <c r="G811" s="3"/>
      <c r="H811" s="3"/>
      <c r="I811" s="3"/>
      <c r="J811" s="39"/>
    </row>
    <row r="812" s="1" customFormat="1" spans="4:10">
      <c r="D812" s="2"/>
      <c r="E812" s="3"/>
      <c r="F812" s="3"/>
      <c r="G812" s="3"/>
      <c r="H812" s="3"/>
      <c r="I812" s="3"/>
      <c r="J812" s="39"/>
    </row>
    <row r="813" s="1" customFormat="1" spans="4:10">
      <c r="D813" s="2"/>
      <c r="E813" s="3"/>
      <c r="F813" s="3"/>
      <c r="G813" s="3"/>
      <c r="H813" s="3"/>
      <c r="I813" s="3"/>
      <c r="J813" s="39"/>
    </row>
    <row r="814" s="1" customFormat="1" spans="4:10">
      <c r="D814" s="2"/>
      <c r="E814" s="3"/>
      <c r="F814" s="3"/>
      <c r="G814" s="3"/>
      <c r="H814" s="3"/>
      <c r="I814" s="3"/>
      <c r="J814" s="39"/>
    </row>
    <row r="815" s="1" customFormat="1" spans="4:10">
      <c r="D815" s="2"/>
      <c r="E815" s="3"/>
      <c r="F815" s="3"/>
      <c r="G815" s="3"/>
      <c r="H815" s="3"/>
      <c r="I815" s="3"/>
      <c r="J815" s="39"/>
    </row>
    <row r="816" s="1" customFormat="1" spans="4:10">
      <c r="D816" s="2"/>
      <c r="E816" s="3"/>
      <c r="F816" s="3"/>
      <c r="G816" s="3"/>
      <c r="H816" s="3"/>
      <c r="I816" s="3"/>
      <c r="J816" s="39"/>
    </row>
    <row r="817" s="1" customFormat="1" spans="4:10">
      <c r="D817" s="2"/>
      <c r="E817" s="3"/>
      <c r="F817" s="3"/>
      <c r="G817" s="3"/>
      <c r="H817" s="3"/>
      <c r="I817" s="3"/>
      <c r="J817" s="39"/>
    </row>
    <row r="818" s="1" customFormat="1" spans="4:10">
      <c r="D818" s="2"/>
      <c r="E818" s="3"/>
      <c r="F818" s="3"/>
      <c r="G818" s="3"/>
      <c r="H818" s="3"/>
      <c r="I818" s="3"/>
      <c r="J818" s="39"/>
    </row>
    <row r="819" s="1" customFormat="1" spans="4:10">
      <c r="D819" s="2"/>
      <c r="E819" s="3"/>
      <c r="F819" s="3"/>
      <c r="G819" s="3"/>
      <c r="H819" s="3"/>
      <c r="I819" s="3"/>
      <c r="J819" s="39"/>
    </row>
    <row r="820" s="1" customFormat="1" spans="4:10">
      <c r="D820" s="2"/>
      <c r="E820" s="3"/>
      <c r="F820" s="3"/>
      <c r="G820" s="3"/>
      <c r="H820" s="3"/>
      <c r="I820" s="3"/>
      <c r="J820" s="39"/>
    </row>
    <row r="821" s="1" customFormat="1" spans="4:10">
      <c r="D821" s="2"/>
      <c r="E821" s="3"/>
      <c r="F821" s="3"/>
      <c r="G821" s="3"/>
      <c r="H821" s="3"/>
      <c r="I821" s="3"/>
      <c r="J821" s="39"/>
    </row>
    <row r="822" s="1" customFormat="1" spans="4:10">
      <c r="D822" s="2"/>
      <c r="E822" s="3"/>
      <c r="F822" s="3"/>
      <c r="G822" s="3"/>
      <c r="H822" s="3"/>
      <c r="I822" s="3"/>
      <c r="J822" s="39"/>
    </row>
    <row r="823" s="1" customFormat="1" spans="4:10">
      <c r="D823" s="2"/>
      <c r="E823" s="3"/>
      <c r="F823" s="3"/>
      <c r="G823" s="3"/>
      <c r="H823" s="3"/>
      <c r="I823" s="3"/>
      <c r="J823" s="39"/>
    </row>
    <row r="824" s="1" customFormat="1" spans="4:10">
      <c r="D824" s="2"/>
      <c r="E824" s="3"/>
      <c r="F824" s="3"/>
      <c r="G824" s="3"/>
      <c r="H824" s="3"/>
      <c r="I824" s="3"/>
      <c r="J824" s="39"/>
    </row>
    <row r="825" s="1" customFormat="1" spans="4:10">
      <c r="D825" s="2"/>
      <c r="E825" s="3"/>
      <c r="F825" s="3"/>
      <c r="G825" s="3"/>
      <c r="H825" s="3"/>
      <c r="I825" s="3"/>
      <c r="J825" s="39"/>
    </row>
    <row r="826" s="1" customFormat="1" spans="4:10">
      <c r="D826" s="2"/>
      <c r="E826" s="3"/>
      <c r="F826" s="3"/>
      <c r="G826" s="3"/>
      <c r="H826" s="3"/>
      <c r="I826" s="3"/>
      <c r="J826" s="39"/>
    </row>
    <row r="827" s="1" customFormat="1" spans="4:10">
      <c r="D827" s="2"/>
      <c r="E827" s="3"/>
      <c r="F827" s="3"/>
      <c r="G827" s="3"/>
      <c r="H827" s="3"/>
      <c r="I827" s="3"/>
      <c r="J827" s="39"/>
    </row>
    <row r="828" s="1" customFormat="1" spans="4:10">
      <c r="D828" s="2"/>
      <c r="E828" s="3"/>
      <c r="F828" s="3"/>
      <c r="G828" s="3"/>
      <c r="H828" s="3"/>
      <c r="I828" s="3"/>
      <c r="J828" s="39"/>
    </row>
    <row r="829" s="1" customFormat="1" spans="4:10">
      <c r="D829" s="2"/>
      <c r="E829" s="3"/>
      <c r="F829" s="3"/>
      <c r="G829" s="3"/>
      <c r="H829" s="3"/>
      <c r="I829" s="3"/>
      <c r="J829" s="39"/>
    </row>
    <row r="830" s="1" customFormat="1" spans="4:10">
      <c r="D830" s="2"/>
      <c r="E830" s="3"/>
      <c r="F830" s="3"/>
      <c r="G830" s="3"/>
      <c r="H830" s="3"/>
      <c r="I830" s="3"/>
      <c r="J830" s="39"/>
    </row>
    <row r="831" s="1" customFormat="1" spans="4:10">
      <c r="D831" s="2"/>
      <c r="E831" s="3"/>
      <c r="F831" s="3"/>
      <c r="G831" s="3"/>
      <c r="H831" s="3"/>
      <c r="I831" s="3"/>
      <c r="J831" s="39"/>
    </row>
    <row r="832" s="1" customFormat="1" spans="4:10">
      <c r="D832" s="2"/>
      <c r="E832" s="3"/>
      <c r="F832" s="3"/>
      <c r="G832" s="3"/>
      <c r="H832" s="3"/>
      <c r="I832" s="3"/>
      <c r="J832" s="39"/>
    </row>
    <row r="833" s="1" customFormat="1" spans="4:10">
      <c r="D833" s="2"/>
      <c r="E833" s="3"/>
      <c r="F833" s="3"/>
      <c r="G833" s="3"/>
      <c r="H833" s="3"/>
      <c r="I833" s="3"/>
      <c r="J833" s="39"/>
    </row>
    <row r="834" s="1" customFormat="1" spans="4:10">
      <c r="D834" s="2"/>
      <c r="E834" s="3"/>
      <c r="F834" s="3"/>
      <c r="G834" s="3"/>
      <c r="H834" s="3"/>
      <c r="I834" s="3"/>
      <c r="J834" s="39"/>
    </row>
    <row r="835" s="1" customFormat="1" spans="4:10">
      <c r="D835" s="2"/>
      <c r="E835" s="3"/>
      <c r="F835" s="3"/>
      <c r="G835" s="3"/>
      <c r="H835" s="3"/>
      <c r="I835" s="3"/>
      <c r="J835" s="39"/>
    </row>
    <row r="836" s="1" customFormat="1" spans="4:10">
      <c r="D836" s="2"/>
      <c r="E836" s="3"/>
      <c r="F836" s="3"/>
      <c r="G836" s="3"/>
      <c r="H836" s="3"/>
      <c r="I836" s="3"/>
      <c r="J836" s="39"/>
    </row>
    <row r="837" s="1" customFormat="1" spans="4:10">
      <c r="D837" s="2"/>
      <c r="E837" s="3"/>
      <c r="F837" s="3"/>
      <c r="G837" s="3"/>
      <c r="H837" s="3"/>
      <c r="I837" s="3"/>
      <c r="J837" s="39"/>
    </row>
    <row r="838" s="1" customFormat="1" spans="4:10">
      <c r="D838" s="2"/>
      <c r="E838" s="3"/>
      <c r="F838" s="3"/>
      <c r="G838" s="3"/>
      <c r="H838" s="3"/>
      <c r="I838" s="3"/>
      <c r="J838" s="39"/>
    </row>
    <row r="839" s="1" customFormat="1" spans="4:10">
      <c r="D839" s="2"/>
      <c r="E839" s="3"/>
      <c r="F839" s="3"/>
      <c r="G839" s="3"/>
      <c r="H839" s="3"/>
      <c r="I839" s="3"/>
      <c r="J839" s="39"/>
    </row>
    <row r="840" s="1" customFormat="1" spans="4:10">
      <c r="D840" s="2"/>
      <c r="E840" s="3"/>
      <c r="F840" s="3"/>
      <c r="G840" s="3"/>
      <c r="H840" s="3"/>
      <c r="I840" s="3"/>
      <c r="J840" s="39"/>
    </row>
    <row r="841" s="1" customFormat="1" spans="4:10">
      <c r="D841" s="2"/>
      <c r="E841" s="3"/>
      <c r="F841" s="3"/>
      <c r="G841" s="3"/>
      <c r="H841" s="3"/>
      <c r="I841" s="3"/>
      <c r="J841" s="39"/>
    </row>
    <row r="842" s="1" customFormat="1" spans="4:10">
      <c r="D842" s="2"/>
      <c r="E842" s="3"/>
      <c r="F842" s="3"/>
      <c r="G842" s="3"/>
      <c r="H842" s="3"/>
      <c r="I842" s="3"/>
      <c r="J842" s="39"/>
    </row>
    <row r="843" s="1" customFormat="1" spans="4:10">
      <c r="D843" s="2"/>
      <c r="E843" s="3"/>
      <c r="F843" s="3"/>
      <c r="G843" s="3"/>
      <c r="H843" s="3"/>
      <c r="I843" s="3"/>
      <c r="J843" s="39"/>
    </row>
    <row r="844" s="1" customFormat="1" spans="4:10">
      <c r="D844" s="2"/>
      <c r="E844" s="3"/>
      <c r="F844" s="3"/>
      <c r="G844" s="3"/>
      <c r="H844" s="3"/>
      <c r="I844" s="3"/>
      <c r="J844" s="39"/>
    </row>
    <row r="845" s="1" customFormat="1" spans="4:10">
      <c r="D845" s="2"/>
      <c r="E845" s="3"/>
      <c r="F845" s="3"/>
      <c r="G845" s="3"/>
      <c r="H845" s="3"/>
      <c r="I845" s="3"/>
      <c r="J845" s="39"/>
    </row>
    <row r="846" s="1" customFormat="1" spans="4:10">
      <c r="D846" s="2"/>
      <c r="E846" s="3"/>
      <c r="F846" s="3"/>
      <c r="G846" s="3"/>
      <c r="H846" s="3"/>
      <c r="I846" s="3"/>
      <c r="J846" s="39"/>
    </row>
    <row r="847" s="1" customFormat="1" spans="4:10">
      <c r="D847" s="2"/>
      <c r="E847" s="3"/>
      <c r="F847" s="3"/>
      <c r="G847" s="3"/>
      <c r="H847" s="3"/>
      <c r="I847" s="3"/>
      <c r="J847" s="39"/>
    </row>
    <row r="848" s="1" customFormat="1" spans="4:10">
      <c r="D848" s="2"/>
      <c r="E848" s="3"/>
      <c r="F848" s="3"/>
      <c r="G848" s="3"/>
      <c r="H848" s="3"/>
      <c r="I848" s="3"/>
      <c r="J848" s="39"/>
    </row>
    <row r="849" s="1" customFormat="1" spans="4:10">
      <c r="D849" s="2"/>
      <c r="E849" s="3"/>
      <c r="F849" s="3"/>
      <c r="G849" s="3"/>
      <c r="H849" s="3"/>
      <c r="I849" s="3"/>
      <c r="J849" s="39"/>
    </row>
    <row r="850" s="1" customFormat="1" spans="4:10">
      <c r="D850" s="2"/>
      <c r="E850" s="3"/>
      <c r="F850" s="3"/>
      <c r="G850" s="3"/>
      <c r="H850" s="3"/>
      <c r="I850" s="3"/>
      <c r="J850" s="39"/>
    </row>
    <row r="851" s="1" customFormat="1" spans="4:10">
      <c r="D851" s="2"/>
      <c r="E851" s="3"/>
      <c r="F851" s="3"/>
      <c r="G851" s="3"/>
      <c r="H851" s="3"/>
      <c r="I851" s="3"/>
      <c r="J851" s="39"/>
    </row>
    <row r="852" s="1" customFormat="1" spans="4:10">
      <c r="D852" s="2"/>
      <c r="E852" s="3"/>
      <c r="F852" s="3"/>
      <c r="G852" s="3"/>
      <c r="H852" s="3"/>
      <c r="I852" s="3"/>
      <c r="J852" s="39"/>
    </row>
    <row r="853" s="1" customFormat="1" spans="4:10">
      <c r="D853" s="2"/>
      <c r="E853" s="3"/>
      <c r="F853" s="3"/>
      <c r="G853" s="3"/>
      <c r="H853" s="3"/>
      <c r="I853" s="3"/>
      <c r="J853" s="39"/>
    </row>
    <row r="854" s="1" customFormat="1" spans="4:10">
      <c r="D854" s="2"/>
      <c r="E854" s="3"/>
      <c r="F854" s="3"/>
      <c r="G854" s="3"/>
      <c r="H854" s="3"/>
      <c r="I854" s="3"/>
      <c r="J854" s="39"/>
    </row>
    <row r="855" s="1" customFormat="1" spans="4:10">
      <c r="D855" s="2"/>
      <c r="E855" s="3"/>
      <c r="F855" s="3"/>
      <c r="G855" s="3"/>
      <c r="H855" s="3"/>
      <c r="I855" s="3"/>
      <c r="J855" s="39"/>
    </row>
    <row r="856" s="1" customFormat="1" spans="4:10">
      <c r="D856" s="2"/>
      <c r="E856" s="3"/>
      <c r="F856" s="3"/>
      <c r="G856" s="3"/>
      <c r="H856" s="3"/>
      <c r="I856" s="3"/>
      <c r="J856" s="39"/>
    </row>
    <row r="857" s="1" customFormat="1" spans="4:10">
      <c r="D857" s="2"/>
      <c r="E857" s="3"/>
      <c r="F857" s="3"/>
      <c r="G857" s="3"/>
      <c r="H857" s="3"/>
      <c r="I857" s="3"/>
      <c r="J857" s="39"/>
    </row>
    <row r="858" s="1" customFormat="1" spans="4:10">
      <c r="D858" s="2"/>
      <c r="E858" s="3"/>
      <c r="F858" s="3"/>
      <c r="G858" s="3"/>
      <c r="H858" s="3"/>
      <c r="I858" s="3"/>
      <c r="J858" s="39"/>
    </row>
    <row r="859" s="1" customFormat="1" spans="4:10">
      <c r="D859" s="2"/>
      <c r="E859" s="3"/>
      <c r="F859" s="3"/>
      <c r="G859" s="3"/>
      <c r="H859" s="3"/>
      <c r="I859" s="3"/>
      <c r="J859" s="39"/>
    </row>
    <row r="860" s="1" customFormat="1" spans="4:10">
      <c r="D860" s="2"/>
      <c r="E860" s="3"/>
      <c r="F860" s="3"/>
      <c r="G860" s="3"/>
      <c r="H860" s="3"/>
      <c r="I860" s="3"/>
      <c r="J860" s="39"/>
    </row>
    <row r="861" s="1" customFormat="1" spans="4:10">
      <c r="D861" s="2"/>
      <c r="E861" s="3"/>
      <c r="F861" s="3"/>
      <c r="G861" s="3"/>
      <c r="H861" s="3"/>
      <c r="I861" s="3"/>
      <c r="J861" s="39"/>
    </row>
    <row r="862" s="1" customFormat="1" spans="4:10">
      <c r="D862" s="2"/>
      <c r="E862" s="3"/>
      <c r="F862" s="3"/>
      <c r="G862" s="3"/>
      <c r="H862" s="3"/>
      <c r="I862" s="3"/>
      <c r="J862" s="39"/>
    </row>
    <row r="863" s="1" customFormat="1" spans="4:10">
      <c r="D863" s="2"/>
      <c r="E863" s="3"/>
      <c r="F863" s="3"/>
      <c r="G863" s="3"/>
      <c r="H863" s="3"/>
      <c r="I863" s="3"/>
      <c r="J863" s="39"/>
    </row>
    <row r="864" s="1" customFormat="1" spans="4:10">
      <c r="D864" s="2"/>
      <c r="E864" s="3"/>
      <c r="F864" s="3"/>
      <c r="G864" s="3"/>
      <c r="H864" s="3"/>
      <c r="I864" s="3"/>
      <c r="J864" s="39"/>
    </row>
    <row r="865" s="1" customFormat="1" spans="4:10">
      <c r="D865" s="2"/>
      <c r="E865" s="3"/>
      <c r="F865" s="3"/>
      <c r="G865" s="3"/>
      <c r="H865" s="3"/>
      <c r="I865" s="3"/>
      <c r="J865" s="39"/>
    </row>
    <row r="866" s="1" customFormat="1" spans="4:10">
      <c r="D866" s="2"/>
      <c r="E866" s="3"/>
      <c r="F866" s="3"/>
      <c r="G866" s="3"/>
      <c r="H866" s="3"/>
      <c r="I866" s="3"/>
      <c r="J866" s="39"/>
    </row>
    <row r="867" s="1" customFormat="1" spans="4:10">
      <c r="D867" s="2"/>
      <c r="E867" s="3"/>
      <c r="F867" s="3"/>
      <c r="G867" s="3"/>
      <c r="H867" s="3"/>
      <c r="I867" s="3"/>
      <c r="J867" s="39"/>
    </row>
    <row r="868" s="1" customFormat="1" spans="4:10">
      <c r="D868" s="2"/>
      <c r="E868" s="3"/>
      <c r="F868" s="3"/>
      <c r="G868" s="3"/>
      <c r="H868" s="3"/>
      <c r="I868" s="3"/>
      <c r="J868" s="39"/>
    </row>
    <row r="869" s="1" customFormat="1" spans="4:10">
      <c r="D869" s="2"/>
      <c r="E869" s="3"/>
      <c r="F869" s="3"/>
      <c r="G869" s="3"/>
      <c r="H869" s="3"/>
      <c r="I869" s="3"/>
      <c r="J869" s="39"/>
    </row>
    <row r="870" s="1" customFormat="1" spans="4:10">
      <c r="D870" s="2"/>
      <c r="E870" s="3"/>
      <c r="F870" s="3"/>
      <c r="G870" s="3"/>
      <c r="H870" s="3"/>
      <c r="I870" s="3"/>
      <c r="J870" s="39"/>
    </row>
    <row r="871" s="1" customFormat="1" spans="4:10">
      <c r="D871" s="2"/>
      <c r="E871" s="3"/>
      <c r="F871" s="3"/>
      <c r="G871" s="3"/>
      <c r="H871" s="3"/>
      <c r="I871" s="3"/>
      <c r="J871" s="39"/>
    </row>
    <row r="872" s="1" customFormat="1" spans="4:10">
      <c r="D872" s="2"/>
      <c r="E872" s="3"/>
      <c r="F872" s="3"/>
      <c r="G872" s="3"/>
      <c r="H872" s="3"/>
      <c r="I872" s="3"/>
      <c r="J872" s="39"/>
    </row>
    <row r="873" s="1" customFormat="1" spans="4:10">
      <c r="D873" s="2"/>
      <c r="E873" s="3"/>
      <c r="F873" s="3"/>
      <c r="G873" s="3"/>
      <c r="H873" s="3"/>
      <c r="I873" s="3"/>
      <c r="J873" s="39"/>
    </row>
    <row r="874" s="1" customFormat="1" spans="4:10">
      <c r="D874" s="2"/>
      <c r="E874" s="3"/>
      <c r="F874" s="3"/>
      <c r="G874" s="3"/>
      <c r="H874" s="3"/>
      <c r="I874" s="3"/>
      <c r="J874" s="39"/>
    </row>
    <row r="875" s="1" customFormat="1" spans="4:10">
      <c r="D875" s="2"/>
      <c r="E875" s="3"/>
      <c r="F875" s="3"/>
      <c r="G875" s="3"/>
      <c r="H875" s="3"/>
      <c r="I875" s="3"/>
      <c r="J875" s="39"/>
    </row>
    <row r="876" s="1" customFormat="1" spans="4:10">
      <c r="D876" s="2"/>
      <c r="E876" s="3"/>
      <c r="F876" s="3"/>
      <c r="G876" s="3"/>
      <c r="H876" s="3"/>
      <c r="I876" s="3"/>
      <c r="J876" s="39"/>
    </row>
    <row r="877" s="1" customFormat="1" spans="4:10">
      <c r="D877" s="2"/>
      <c r="E877" s="3"/>
      <c r="F877" s="3"/>
      <c r="G877" s="3"/>
      <c r="H877" s="3"/>
      <c r="I877" s="3"/>
      <c r="J877" s="39"/>
    </row>
    <row r="878" s="1" customFormat="1" spans="4:10">
      <c r="D878" s="2"/>
      <c r="E878" s="3"/>
      <c r="F878" s="3"/>
      <c r="G878" s="3"/>
      <c r="H878" s="3"/>
      <c r="I878" s="3"/>
      <c r="J878" s="39"/>
    </row>
    <row r="879" s="1" customFormat="1" spans="4:10">
      <c r="D879" s="2"/>
      <c r="E879" s="3"/>
      <c r="F879" s="3"/>
      <c r="G879" s="3"/>
      <c r="H879" s="3"/>
      <c r="I879" s="3"/>
      <c r="J879" s="39"/>
    </row>
    <row r="880" s="1" customFormat="1" spans="4:10">
      <c r="D880" s="2"/>
      <c r="E880" s="3"/>
      <c r="F880" s="3"/>
      <c r="G880" s="3"/>
      <c r="H880" s="3"/>
      <c r="I880" s="3"/>
      <c r="J880" s="39"/>
    </row>
    <row r="881" s="1" customFormat="1" spans="4:10">
      <c r="D881" s="2"/>
      <c r="E881" s="3"/>
      <c r="F881" s="3"/>
      <c r="G881" s="3"/>
      <c r="H881" s="3"/>
      <c r="I881" s="3"/>
      <c r="J881" s="39"/>
    </row>
    <row r="882" s="1" customFormat="1" spans="4:10">
      <c r="D882" s="2"/>
      <c r="E882" s="3"/>
      <c r="F882" s="3"/>
      <c r="G882" s="3"/>
      <c r="H882" s="3"/>
      <c r="I882" s="3"/>
      <c r="J882" s="39"/>
    </row>
    <row r="883" s="1" customFormat="1" spans="4:10">
      <c r="D883" s="2"/>
      <c r="E883" s="3"/>
      <c r="F883" s="3"/>
      <c r="G883" s="3"/>
      <c r="H883" s="3"/>
      <c r="I883" s="3"/>
      <c r="J883" s="39"/>
    </row>
    <row r="884" s="1" customFormat="1" spans="4:10">
      <c r="D884" s="2"/>
      <c r="E884" s="3"/>
      <c r="F884" s="3"/>
      <c r="G884" s="3"/>
      <c r="H884" s="3"/>
      <c r="I884" s="3"/>
      <c r="J884" s="39"/>
    </row>
    <row r="885" s="1" customFormat="1" spans="4:10">
      <c r="D885" s="2"/>
      <c r="E885" s="3"/>
      <c r="F885" s="3"/>
      <c r="G885" s="3"/>
      <c r="H885" s="3"/>
      <c r="I885" s="3"/>
      <c r="J885" s="39"/>
    </row>
    <row r="886" s="1" customFormat="1" spans="4:10">
      <c r="D886" s="2"/>
      <c r="E886" s="3"/>
      <c r="F886" s="3"/>
      <c r="G886" s="3"/>
      <c r="H886" s="3"/>
      <c r="I886" s="3"/>
      <c r="J886" s="39"/>
    </row>
    <row r="887" s="1" customFormat="1" spans="4:10">
      <c r="D887" s="2"/>
      <c r="E887" s="3"/>
      <c r="F887" s="3"/>
      <c r="G887" s="3"/>
      <c r="H887" s="3"/>
      <c r="I887" s="3"/>
      <c r="J887" s="39"/>
    </row>
    <row r="888" s="1" customFormat="1" spans="4:10">
      <c r="D888" s="2"/>
      <c r="E888" s="3"/>
      <c r="F888" s="3"/>
      <c r="G888" s="3"/>
      <c r="H888" s="3"/>
      <c r="I888" s="3"/>
      <c r="J888" s="39"/>
    </row>
    <row r="889" s="1" customFormat="1" spans="4:10">
      <c r="D889" s="2"/>
      <c r="E889" s="3"/>
      <c r="F889" s="3"/>
      <c r="G889" s="3"/>
      <c r="H889" s="3"/>
      <c r="I889" s="3"/>
      <c r="J889" s="39"/>
    </row>
    <row r="890" s="1" customFormat="1" spans="4:10">
      <c r="D890" s="2"/>
      <c r="E890" s="3"/>
      <c r="F890" s="3"/>
      <c r="G890" s="3"/>
      <c r="H890" s="3"/>
      <c r="I890" s="3"/>
      <c r="J890" s="39"/>
    </row>
    <row r="891" s="1" customFormat="1" spans="4:10">
      <c r="D891" s="2"/>
      <c r="E891" s="3"/>
      <c r="F891" s="3"/>
      <c r="G891" s="3"/>
      <c r="H891" s="3"/>
      <c r="I891" s="3"/>
      <c r="J891" s="39"/>
    </row>
    <row r="892" s="1" customFormat="1" spans="4:10">
      <c r="D892" s="2"/>
      <c r="E892" s="3"/>
      <c r="F892" s="3"/>
      <c r="G892" s="3"/>
      <c r="H892" s="3"/>
      <c r="I892" s="3"/>
      <c r="J892" s="39"/>
    </row>
    <row r="893" s="1" customFormat="1" spans="4:10">
      <c r="D893" s="2"/>
      <c r="E893" s="3"/>
      <c r="F893" s="3"/>
      <c r="G893" s="3"/>
      <c r="H893" s="3"/>
      <c r="I893" s="3"/>
      <c r="J893" s="39"/>
    </row>
    <row r="894" s="1" customFormat="1" spans="4:10">
      <c r="D894" s="2"/>
      <c r="E894" s="3"/>
      <c r="F894" s="3"/>
      <c r="G894" s="3"/>
      <c r="H894" s="3"/>
      <c r="I894" s="3"/>
      <c r="J894" s="39"/>
    </row>
    <row r="895" s="1" customFormat="1" spans="4:10">
      <c r="D895" s="2"/>
      <c r="E895" s="3"/>
      <c r="F895" s="3"/>
      <c r="G895" s="3"/>
      <c r="H895" s="3"/>
      <c r="I895" s="3"/>
      <c r="J895" s="39"/>
    </row>
    <row r="896" s="1" customFormat="1" spans="4:10">
      <c r="D896" s="2"/>
      <c r="E896" s="3"/>
      <c r="F896" s="3"/>
      <c r="G896" s="3"/>
      <c r="H896" s="3"/>
      <c r="I896" s="3"/>
      <c r="J896" s="39"/>
    </row>
    <row r="897" s="1" customFormat="1" spans="4:10">
      <c r="D897" s="2"/>
      <c r="E897" s="3"/>
      <c r="F897" s="3"/>
      <c r="G897" s="3"/>
      <c r="H897" s="3"/>
      <c r="I897" s="3"/>
      <c r="J897" s="39"/>
    </row>
    <row r="898" s="1" customFormat="1" spans="4:10">
      <c r="D898" s="2"/>
      <c r="E898" s="3"/>
      <c r="F898" s="3"/>
      <c r="G898" s="3"/>
      <c r="H898" s="3"/>
      <c r="I898" s="3"/>
      <c r="J898" s="39"/>
    </row>
    <row r="899" s="1" customFormat="1" spans="4:10">
      <c r="D899" s="2"/>
      <c r="E899" s="3"/>
      <c r="F899" s="3"/>
      <c r="G899" s="3"/>
      <c r="H899" s="3"/>
      <c r="I899" s="3"/>
      <c r="J899" s="39"/>
    </row>
    <row r="900" s="1" customFormat="1" spans="4:10">
      <c r="D900" s="2"/>
      <c r="E900" s="3"/>
      <c r="F900" s="3"/>
      <c r="G900" s="3"/>
      <c r="H900" s="3"/>
      <c r="I900" s="3"/>
      <c r="J900" s="39"/>
    </row>
    <row r="901" s="1" customFormat="1" spans="4:10">
      <c r="D901" s="2"/>
      <c r="E901" s="3"/>
      <c r="F901" s="3"/>
      <c r="G901" s="3"/>
      <c r="H901" s="3"/>
      <c r="I901" s="3"/>
      <c r="J901" s="39"/>
    </row>
    <row r="902" s="1" customFormat="1" spans="4:10">
      <c r="D902" s="2"/>
      <c r="E902" s="3"/>
      <c r="F902" s="3"/>
      <c r="G902" s="3"/>
      <c r="H902" s="3"/>
      <c r="I902" s="3"/>
      <c r="J902" s="39"/>
    </row>
    <row r="903" s="1" customFormat="1" spans="4:10">
      <c r="D903" s="2"/>
      <c r="E903" s="3"/>
      <c r="F903" s="3"/>
      <c r="G903" s="3"/>
      <c r="H903" s="3"/>
      <c r="I903" s="3"/>
      <c r="J903" s="39"/>
    </row>
    <row r="904" s="1" customFormat="1" spans="4:10">
      <c r="D904" s="2"/>
      <c r="E904" s="3"/>
      <c r="F904" s="3"/>
      <c r="G904" s="3"/>
      <c r="H904" s="3"/>
      <c r="I904" s="3"/>
      <c r="J904" s="39"/>
    </row>
    <row r="905" s="1" customFormat="1" spans="4:10">
      <c r="D905" s="2"/>
      <c r="E905" s="3"/>
      <c r="F905" s="3"/>
      <c r="G905" s="3"/>
      <c r="H905" s="3"/>
      <c r="I905" s="3"/>
      <c r="J905" s="39"/>
    </row>
    <row r="906" s="1" customFormat="1" spans="4:10">
      <c r="D906" s="2"/>
      <c r="E906" s="3"/>
      <c r="F906" s="3"/>
      <c r="G906" s="3"/>
      <c r="H906" s="3"/>
      <c r="I906" s="3"/>
      <c r="J906" s="39"/>
    </row>
    <row r="907" s="1" customFormat="1" spans="4:10">
      <c r="D907" s="2"/>
      <c r="E907" s="3"/>
      <c r="F907" s="3"/>
      <c r="G907" s="3"/>
      <c r="H907" s="3"/>
      <c r="I907" s="3"/>
      <c r="J907" s="39"/>
    </row>
    <row r="908" s="1" customFormat="1" spans="4:10">
      <c r="D908" s="2"/>
      <c r="E908" s="3"/>
      <c r="F908" s="3"/>
      <c r="G908" s="3"/>
      <c r="H908" s="3"/>
      <c r="I908" s="3"/>
      <c r="J908" s="39"/>
    </row>
    <row r="909" s="1" customFormat="1" spans="4:10">
      <c r="D909" s="2"/>
      <c r="E909" s="3"/>
      <c r="F909" s="3"/>
      <c r="G909" s="3"/>
      <c r="H909" s="3"/>
      <c r="I909" s="3"/>
      <c r="J909" s="39"/>
    </row>
    <row r="910" s="1" customFormat="1" spans="4:10">
      <c r="D910" s="2"/>
      <c r="E910" s="3"/>
      <c r="F910" s="3"/>
      <c r="G910" s="3"/>
      <c r="H910" s="3"/>
      <c r="I910" s="3"/>
      <c r="J910" s="39"/>
    </row>
    <row r="911" s="1" customFormat="1" spans="4:10">
      <c r="D911" s="2"/>
      <c r="E911" s="3"/>
      <c r="F911" s="3"/>
      <c r="G911" s="3"/>
      <c r="H911" s="3"/>
      <c r="I911" s="3"/>
      <c r="J911" s="39"/>
    </row>
    <row r="912" s="1" customFormat="1" spans="4:10">
      <c r="D912" s="2"/>
      <c r="E912" s="3"/>
      <c r="F912" s="3"/>
      <c r="G912" s="3"/>
      <c r="H912" s="3"/>
      <c r="I912" s="3"/>
      <c r="J912" s="39"/>
    </row>
    <row r="913" s="1" customFormat="1" spans="4:10">
      <c r="D913" s="2"/>
      <c r="E913" s="3"/>
      <c r="F913" s="3"/>
      <c r="G913" s="3"/>
      <c r="H913" s="3"/>
      <c r="I913" s="3"/>
      <c r="J913" s="39"/>
    </row>
    <row r="914" s="1" customFormat="1" spans="4:10">
      <c r="D914" s="2"/>
      <c r="E914" s="3"/>
      <c r="F914" s="3"/>
      <c r="G914" s="3"/>
      <c r="H914" s="3"/>
      <c r="I914" s="3"/>
      <c r="J914" s="39"/>
    </row>
    <row r="915" s="1" customFormat="1" spans="4:10">
      <c r="D915" s="2"/>
      <c r="E915" s="3"/>
      <c r="F915" s="3"/>
      <c r="G915" s="3"/>
      <c r="H915" s="3"/>
      <c r="I915" s="3"/>
      <c r="J915" s="39"/>
    </row>
    <row r="916" s="1" customFormat="1" spans="4:10">
      <c r="D916" s="2"/>
      <c r="E916" s="3"/>
      <c r="F916" s="3"/>
      <c r="G916" s="3"/>
      <c r="H916" s="3"/>
      <c r="I916" s="3"/>
      <c r="J916" s="39"/>
    </row>
    <row r="917" s="1" customFormat="1" spans="4:10">
      <c r="D917" s="2"/>
      <c r="E917" s="3"/>
      <c r="F917" s="3"/>
      <c r="G917" s="3"/>
      <c r="H917" s="3"/>
      <c r="I917" s="3"/>
      <c r="J917" s="39"/>
    </row>
    <row r="918" s="1" customFormat="1" spans="4:10">
      <c r="D918" s="2"/>
      <c r="E918" s="3"/>
      <c r="F918" s="3"/>
      <c r="G918" s="3"/>
      <c r="H918" s="3"/>
      <c r="I918" s="3"/>
      <c r="J918" s="39"/>
    </row>
    <row r="919" s="1" customFormat="1" spans="4:10">
      <c r="D919" s="2"/>
      <c r="E919" s="3"/>
      <c r="F919" s="3"/>
      <c r="G919" s="3"/>
      <c r="H919" s="3"/>
      <c r="I919" s="3"/>
      <c r="J919" s="39"/>
    </row>
    <row r="920" s="1" customFormat="1" spans="4:10">
      <c r="D920" s="2"/>
      <c r="E920" s="3"/>
      <c r="F920" s="3"/>
      <c r="G920" s="3"/>
      <c r="H920" s="3"/>
      <c r="I920" s="3"/>
      <c r="J920" s="39"/>
    </row>
    <row r="921" s="1" customFormat="1" spans="4:10">
      <c r="D921" s="2"/>
      <c r="E921" s="3"/>
      <c r="F921" s="3"/>
      <c r="G921" s="3"/>
      <c r="H921" s="3"/>
      <c r="I921" s="3"/>
      <c r="J921" s="39"/>
    </row>
    <row r="922" s="1" customFormat="1" spans="4:10">
      <c r="D922" s="2"/>
      <c r="E922" s="3"/>
      <c r="F922" s="3"/>
      <c r="G922" s="3"/>
      <c r="H922" s="3"/>
      <c r="I922" s="3"/>
      <c r="J922" s="39"/>
    </row>
    <row r="923" s="1" customFormat="1" spans="4:10">
      <c r="D923" s="2"/>
      <c r="E923" s="3"/>
      <c r="F923" s="3"/>
      <c r="G923" s="3"/>
      <c r="H923" s="3"/>
      <c r="I923" s="3"/>
      <c r="J923" s="39"/>
    </row>
    <row r="924" s="1" customFormat="1" spans="4:10">
      <c r="D924" s="2"/>
      <c r="E924" s="3"/>
      <c r="F924" s="3"/>
      <c r="G924" s="3"/>
      <c r="H924" s="3"/>
      <c r="I924" s="3"/>
      <c r="J924" s="39"/>
    </row>
    <row r="925" s="1" customFormat="1" spans="4:10">
      <c r="D925" s="2"/>
      <c r="E925" s="3"/>
      <c r="F925" s="3"/>
      <c r="G925" s="3"/>
      <c r="H925" s="3"/>
      <c r="I925" s="3"/>
      <c r="J925" s="39"/>
    </row>
    <row r="926" s="1" customFormat="1" spans="4:10">
      <c r="D926" s="2"/>
      <c r="E926" s="3"/>
      <c r="F926" s="3"/>
      <c r="G926" s="3"/>
      <c r="H926" s="3"/>
      <c r="I926" s="3"/>
      <c r="J926" s="39"/>
    </row>
    <row r="927" s="1" customFormat="1" spans="4:10">
      <c r="D927" s="2"/>
      <c r="E927" s="3"/>
      <c r="F927" s="3"/>
      <c r="G927" s="3"/>
      <c r="H927" s="3"/>
      <c r="I927" s="3"/>
      <c r="J927" s="39"/>
    </row>
    <row r="928" s="1" customFormat="1" spans="4:10">
      <c r="D928" s="2"/>
      <c r="E928" s="3"/>
      <c r="F928" s="3"/>
      <c r="G928" s="3"/>
      <c r="H928" s="3"/>
      <c r="I928" s="3"/>
      <c r="J928" s="39"/>
    </row>
    <row r="929" s="1" customFormat="1" spans="4:10">
      <c r="D929" s="2"/>
      <c r="E929" s="3"/>
      <c r="F929" s="3"/>
      <c r="G929" s="3"/>
      <c r="H929" s="3"/>
      <c r="I929" s="3"/>
      <c r="J929" s="39"/>
    </row>
    <row r="930" s="1" customFormat="1" spans="4:10">
      <c r="D930" s="2"/>
      <c r="E930" s="3"/>
      <c r="F930" s="3"/>
      <c r="G930" s="3"/>
      <c r="H930" s="3"/>
      <c r="I930" s="3"/>
      <c r="J930" s="39"/>
    </row>
    <row r="931" s="1" customFormat="1" spans="4:10">
      <c r="D931" s="2"/>
      <c r="E931" s="3"/>
      <c r="F931" s="3"/>
      <c r="G931" s="3"/>
      <c r="H931" s="3"/>
      <c r="I931" s="3"/>
      <c r="J931" s="39"/>
    </row>
    <row r="932" s="1" customFormat="1" spans="4:10">
      <c r="D932" s="2"/>
      <c r="E932" s="3"/>
      <c r="F932" s="3"/>
      <c r="G932" s="3"/>
      <c r="H932" s="3"/>
      <c r="I932" s="3"/>
      <c r="J932" s="39"/>
    </row>
    <row r="933" s="1" customFormat="1" spans="4:10">
      <c r="D933" s="2"/>
      <c r="E933" s="3"/>
      <c r="F933" s="3"/>
      <c r="G933" s="3"/>
      <c r="H933" s="3"/>
      <c r="I933" s="3"/>
      <c r="J933" s="39"/>
    </row>
    <row r="934" s="1" customFormat="1" spans="4:10">
      <c r="D934" s="2"/>
      <c r="E934" s="3"/>
      <c r="F934" s="3"/>
      <c r="G934" s="3"/>
      <c r="H934" s="3"/>
      <c r="I934" s="3"/>
      <c r="J934" s="39"/>
    </row>
    <row r="935" s="1" customFormat="1" spans="4:10">
      <c r="D935" s="2"/>
      <c r="E935" s="3"/>
      <c r="F935" s="3"/>
      <c r="G935" s="3"/>
      <c r="H935" s="3"/>
      <c r="I935" s="3"/>
      <c r="J935" s="39"/>
    </row>
    <row r="936" s="1" customFormat="1" spans="4:10">
      <c r="D936" s="2"/>
      <c r="E936" s="3"/>
      <c r="F936" s="3"/>
      <c r="G936" s="3"/>
      <c r="H936" s="3"/>
      <c r="I936" s="3"/>
      <c r="J936" s="39"/>
    </row>
    <row r="937" s="1" customFormat="1" spans="4:10">
      <c r="D937" s="2"/>
      <c r="E937" s="3"/>
      <c r="F937" s="3"/>
      <c r="G937" s="3"/>
      <c r="H937" s="3"/>
      <c r="I937" s="3"/>
      <c r="J937" s="39"/>
    </row>
    <row r="938" s="1" customFormat="1" spans="4:10">
      <c r="D938" s="2"/>
      <c r="E938" s="3"/>
      <c r="F938" s="3"/>
      <c r="G938" s="3"/>
      <c r="H938" s="3"/>
      <c r="I938" s="3"/>
      <c r="J938" s="39"/>
    </row>
    <row r="939" s="1" customFormat="1" spans="4:10">
      <c r="D939" s="2"/>
      <c r="E939" s="3"/>
      <c r="F939" s="3"/>
      <c r="G939" s="3"/>
      <c r="H939" s="3"/>
      <c r="I939" s="3"/>
      <c r="J939" s="39"/>
    </row>
    <row r="940" s="1" customFormat="1" spans="4:10">
      <c r="D940" s="2"/>
      <c r="E940" s="3"/>
      <c r="F940" s="3"/>
      <c r="G940" s="3"/>
      <c r="H940" s="3"/>
      <c r="I940" s="3"/>
      <c r="J940" s="39"/>
    </row>
    <row r="941" s="1" customFormat="1" spans="4:10">
      <c r="D941" s="2"/>
      <c r="E941" s="3"/>
      <c r="F941" s="3"/>
      <c r="G941" s="3"/>
      <c r="H941" s="3"/>
      <c r="I941" s="3"/>
      <c r="J941" s="39"/>
    </row>
    <row r="942" s="1" customFormat="1" spans="4:10">
      <c r="D942" s="2"/>
      <c r="E942" s="3"/>
      <c r="F942" s="3"/>
      <c r="G942" s="3"/>
      <c r="H942" s="3"/>
      <c r="I942" s="3"/>
      <c r="J942" s="39"/>
    </row>
    <row r="943" s="1" customFormat="1" spans="4:10">
      <c r="D943" s="2"/>
      <c r="E943" s="3"/>
      <c r="F943" s="3"/>
      <c r="G943" s="3"/>
      <c r="H943" s="3"/>
      <c r="I943" s="3"/>
      <c r="J943" s="39"/>
    </row>
    <row r="944" s="1" customFormat="1" spans="4:10">
      <c r="D944" s="2"/>
      <c r="E944" s="3"/>
      <c r="F944" s="3"/>
      <c r="G944" s="3"/>
      <c r="H944" s="3"/>
      <c r="I944" s="3"/>
      <c r="J944" s="39"/>
    </row>
    <row r="945" s="1" customFormat="1" spans="4:10">
      <c r="D945" s="2"/>
      <c r="E945" s="3"/>
      <c r="F945" s="3"/>
      <c r="G945" s="3"/>
      <c r="H945" s="3"/>
      <c r="I945" s="3"/>
      <c r="J945" s="39"/>
    </row>
    <row r="946" s="1" customFormat="1" spans="4:10">
      <c r="D946" s="2"/>
      <c r="E946" s="3"/>
      <c r="F946" s="3"/>
      <c r="G946" s="3"/>
      <c r="H946" s="3"/>
      <c r="I946" s="3"/>
      <c r="J946" s="39"/>
    </row>
    <row r="947" s="1" customFormat="1" spans="4:10">
      <c r="D947" s="2"/>
      <c r="E947" s="3"/>
      <c r="F947" s="3"/>
      <c r="G947" s="3"/>
      <c r="H947" s="3"/>
      <c r="I947" s="3"/>
      <c r="J947" s="39"/>
    </row>
    <row r="948" s="1" customFormat="1" spans="4:10">
      <c r="D948" s="2"/>
      <c r="E948" s="3"/>
      <c r="F948" s="3"/>
      <c r="G948" s="3"/>
      <c r="H948" s="3"/>
      <c r="I948" s="3"/>
      <c r="J948" s="39"/>
    </row>
    <row r="949" s="1" customFormat="1" spans="4:10">
      <c r="D949" s="2"/>
      <c r="E949" s="3"/>
      <c r="F949" s="3"/>
      <c r="G949" s="3"/>
      <c r="H949" s="3"/>
      <c r="I949" s="3"/>
      <c r="J949" s="39"/>
    </row>
    <row r="950" s="1" customFormat="1" spans="4:10">
      <c r="D950" s="2"/>
      <c r="E950" s="3"/>
      <c r="F950" s="3"/>
      <c r="G950" s="3"/>
      <c r="H950" s="3"/>
      <c r="I950" s="3"/>
      <c r="J950" s="39"/>
    </row>
    <row r="951" s="1" customFormat="1" spans="4:10">
      <c r="D951" s="2"/>
      <c r="E951" s="3"/>
      <c r="F951" s="3"/>
      <c r="G951" s="3"/>
      <c r="H951" s="3"/>
      <c r="I951" s="3"/>
      <c r="J951" s="39"/>
    </row>
    <row r="952" s="1" customFormat="1" spans="4:10">
      <c r="D952" s="2"/>
      <c r="E952" s="3"/>
      <c r="F952" s="3"/>
      <c r="G952" s="3"/>
      <c r="H952" s="3"/>
      <c r="I952" s="3"/>
      <c r="J952" s="39"/>
    </row>
    <row r="953" s="1" customFormat="1" spans="4:10">
      <c r="D953" s="2"/>
      <c r="E953" s="3"/>
      <c r="F953" s="3"/>
      <c r="G953" s="3"/>
      <c r="H953" s="3"/>
      <c r="I953" s="3"/>
      <c r="J953" s="39"/>
    </row>
    <row r="954" s="1" customFormat="1" spans="4:10">
      <c r="D954" s="2"/>
      <c r="E954" s="3"/>
      <c r="F954" s="3"/>
      <c r="G954" s="3"/>
      <c r="H954" s="3"/>
      <c r="I954" s="3"/>
      <c r="J954" s="39"/>
    </row>
    <row r="955" s="1" customFormat="1" spans="4:10">
      <c r="D955" s="2"/>
      <c r="E955" s="3"/>
      <c r="F955" s="3"/>
      <c r="G955" s="3"/>
      <c r="H955" s="3"/>
      <c r="I955" s="3"/>
      <c r="J955" s="39"/>
    </row>
    <row r="956" s="1" customFormat="1" spans="4:10">
      <c r="D956" s="2"/>
      <c r="E956" s="3"/>
      <c r="F956" s="3"/>
      <c r="G956" s="3"/>
      <c r="H956" s="3"/>
      <c r="I956" s="3"/>
      <c r="J956" s="39"/>
    </row>
    <row r="957" s="1" customFormat="1" spans="4:10">
      <c r="D957" s="2"/>
      <c r="E957" s="3"/>
      <c r="F957" s="3"/>
      <c r="G957" s="3"/>
      <c r="H957" s="3"/>
      <c r="I957" s="3"/>
      <c r="J957" s="39"/>
    </row>
    <row r="958" s="1" customFormat="1" spans="4:10">
      <c r="D958" s="2"/>
      <c r="E958" s="3"/>
      <c r="F958" s="3"/>
      <c r="G958" s="3"/>
      <c r="H958" s="3"/>
      <c r="I958" s="3"/>
      <c r="J958" s="39"/>
    </row>
    <row r="959" s="1" customFormat="1" spans="4:10">
      <c r="D959" s="2"/>
      <c r="E959" s="3"/>
      <c r="F959" s="3"/>
      <c r="G959" s="3"/>
      <c r="H959" s="3"/>
      <c r="I959" s="3"/>
      <c r="J959" s="39"/>
    </row>
    <row r="960" s="1" customFormat="1" spans="4:10">
      <c r="D960" s="2"/>
      <c r="E960" s="3"/>
      <c r="F960" s="3"/>
      <c r="G960" s="3"/>
      <c r="H960" s="3"/>
      <c r="I960" s="3"/>
      <c r="J960" s="39"/>
    </row>
    <row r="961" s="1" customFormat="1" spans="4:10">
      <c r="D961" s="2"/>
      <c r="E961" s="3"/>
      <c r="F961" s="3"/>
      <c r="G961" s="3"/>
      <c r="H961" s="3"/>
      <c r="I961" s="3"/>
      <c r="J961" s="39"/>
    </row>
    <row r="962" s="1" customFormat="1" spans="4:10">
      <c r="D962" s="2"/>
      <c r="E962" s="3"/>
      <c r="F962" s="3"/>
      <c r="G962" s="3"/>
      <c r="H962" s="3"/>
      <c r="I962" s="3"/>
      <c r="J962" s="39"/>
    </row>
    <row r="963" s="1" customFormat="1" spans="4:10">
      <c r="D963" s="2"/>
      <c r="E963" s="3"/>
      <c r="F963" s="3"/>
      <c r="G963" s="3"/>
      <c r="H963" s="3"/>
      <c r="I963" s="3"/>
      <c r="J963" s="39"/>
    </row>
    <row r="964" s="1" customFormat="1" spans="4:10">
      <c r="D964" s="2"/>
      <c r="E964" s="3"/>
      <c r="F964" s="3"/>
      <c r="G964" s="3"/>
      <c r="H964" s="3"/>
      <c r="I964" s="3"/>
      <c r="J964" s="39"/>
    </row>
    <row r="965" s="1" customFormat="1" spans="4:10">
      <c r="D965" s="2"/>
      <c r="E965" s="3"/>
      <c r="F965" s="3"/>
      <c r="G965" s="3"/>
      <c r="H965" s="3"/>
      <c r="I965" s="3"/>
      <c r="J965" s="39"/>
    </row>
    <row r="966" s="1" customFormat="1" spans="4:10">
      <c r="D966" s="2"/>
      <c r="E966" s="3"/>
      <c r="F966" s="3"/>
      <c r="G966" s="3"/>
      <c r="H966" s="3"/>
      <c r="I966" s="3"/>
      <c r="J966" s="39"/>
    </row>
    <row r="967" s="1" customFormat="1" spans="4:10">
      <c r="D967" s="2"/>
      <c r="E967" s="3"/>
      <c r="F967" s="3"/>
      <c r="G967" s="3"/>
      <c r="H967" s="3"/>
      <c r="I967" s="3"/>
      <c r="J967" s="39"/>
    </row>
    <row r="968" s="1" customFormat="1" spans="4:10">
      <c r="D968" s="2"/>
      <c r="E968" s="3"/>
      <c r="F968" s="3"/>
      <c r="G968" s="3"/>
      <c r="H968" s="3"/>
      <c r="I968" s="3"/>
      <c r="J968" s="39"/>
    </row>
    <row r="969" s="1" customFormat="1" spans="4:10">
      <c r="D969" s="2"/>
      <c r="E969" s="3"/>
      <c r="F969" s="3"/>
      <c r="G969" s="3"/>
      <c r="H969" s="3"/>
      <c r="I969" s="3"/>
      <c r="J969" s="39"/>
    </row>
    <row r="970" s="1" customFormat="1" spans="4:10">
      <c r="D970" s="2"/>
      <c r="E970" s="3"/>
      <c r="F970" s="3"/>
      <c r="G970" s="3"/>
      <c r="H970" s="3"/>
      <c r="I970" s="3"/>
      <c r="J970" s="39"/>
    </row>
    <row r="971" s="1" customFormat="1" spans="4:10">
      <c r="D971" s="2"/>
      <c r="E971" s="3"/>
      <c r="F971" s="3"/>
      <c r="G971" s="3"/>
      <c r="H971" s="3"/>
      <c r="I971" s="3"/>
      <c r="J971" s="39"/>
    </row>
    <row r="972" s="1" customFormat="1" spans="4:10">
      <c r="D972" s="2"/>
      <c r="E972" s="3"/>
      <c r="F972" s="3"/>
      <c r="G972" s="3"/>
      <c r="H972" s="3"/>
      <c r="I972" s="3"/>
      <c r="J972" s="39"/>
    </row>
    <row r="973" s="1" customFormat="1" spans="4:10">
      <c r="D973" s="2"/>
      <c r="E973" s="3"/>
      <c r="F973" s="3"/>
      <c r="G973" s="3"/>
      <c r="H973" s="3"/>
      <c r="I973" s="3"/>
      <c r="J973" s="39"/>
    </row>
    <row r="974" s="1" customFormat="1" spans="4:10">
      <c r="D974" s="2"/>
      <c r="E974" s="3"/>
      <c r="F974" s="3"/>
      <c r="G974" s="3"/>
      <c r="H974" s="3"/>
      <c r="I974" s="3"/>
      <c r="J974" s="39"/>
    </row>
    <row r="975" s="1" customFormat="1" spans="4:10">
      <c r="D975" s="2"/>
      <c r="E975" s="3"/>
      <c r="F975" s="3"/>
      <c r="G975" s="3"/>
      <c r="H975" s="3"/>
      <c r="I975" s="3"/>
      <c r="J975" s="39"/>
    </row>
    <row r="976" s="1" customFormat="1" spans="4:10">
      <c r="D976" s="2"/>
      <c r="E976" s="3"/>
      <c r="F976" s="3"/>
      <c r="G976" s="3"/>
      <c r="H976" s="3"/>
      <c r="I976" s="3"/>
      <c r="J976" s="39"/>
    </row>
    <row r="977" s="1" customFormat="1" spans="4:10">
      <c r="D977" s="2"/>
      <c r="E977" s="3"/>
      <c r="F977" s="3"/>
      <c r="G977" s="3"/>
      <c r="H977" s="3"/>
      <c r="I977" s="3"/>
      <c r="J977" s="39"/>
    </row>
    <row r="978" s="1" customFormat="1" spans="4:10">
      <c r="D978" s="2"/>
      <c r="E978" s="3"/>
      <c r="F978" s="3"/>
      <c r="G978" s="3"/>
      <c r="H978" s="3"/>
      <c r="I978" s="3"/>
      <c r="J978" s="39"/>
    </row>
    <row r="979" s="1" customFormat="1" spans="4:10">
      <c r="D979" s="2"/>
      <c r="E979" s="3"/>
      <c r="F979" s="3"/>
      <c r="G979" s="3"/>
      <c r="H979" s="3"/>
      <c r="I979" s="3"/>
      <c r="J979" s="39"/>
    </row>
    <row r="980" s="1" customFormat="1" spans="4:10">
      <c r="D980" s="2"/>
      <c r="E980" s="3"/>
      <c r="F980" s="3"/>
      <c r="G980" s="3"/>
      <c r="H980" s="3"/>
      <c r="I980" s="3"/>
      <c r="J980" s="39"/>
    </row>
    <row r="981" s="1" customFormat="1" spans="4:10">
      <c r="D981" s="2"/>
      <c r="E981" s="3"/>
      <c r="F981" s="3"/>
      <c r="G981" s="3"/>
      <c r="H981" s="3"/>
      <c r="I981" s="3"/>
      <c r="J981" s="39"/>
    </row>
    <row r="982" s="1" customFormat="1" spans="4:10">
      <c r="D982" s="2"/>
      <c r="E982" s="3"/>
      <c r="F982" s="3"/>
      <c r="G982" s="3"/>
      <c r="H982" s="3"/>
      <c r="I982" s="3"/>
      <c r="J982" s="39"/>
    </row>
    <row r="983" s="1" customFormat="1" spans="4:10">
      <c r="D983" s="2"/>
      <c r="E983" s="3"/>
      <c r="F983" s="3"/>
      <c r="G983" s="3"/>
      <c r="H983" s="3"/>
      <c r="I983" s="3"/>
      <c r="J983" s="39"/>
    </row>
    <row r="984" s="1" customFormat="1" spans="4:10">
      <c r="D984" s="2"/>
      <c r="E984" s="3"/>
      <c r="F984" s="3"/>
      <c r="G984" s="3"/>
      <c r="H984" s="3"/>
      <c r="I984" s="3"/>
      <c r="J984" s="39"/>
    </row>
    <row r="985" s="1" customFormat="1" spans="4:10">
      <c r="D985" s="2"/>
      <c r="E985" s="3"/>
      <c r="F985" s="3"/>
      <c r="G985" s="3"/>
      <c r="H985" s="3"/>
      <c r="I985" s="3"/>
      <c r="J985" s="39"/>
    </row>
    <row r="986" s="1" customFormat="1" spans="4:10">
      <c r="D986" s="2"/>
      <c r="E986" s="3"/>
      <c r="F986" s="3"/>
      <c r="G986" s="3"/>
      <c r="H986" s="3"/>
      <c r="I986" s="3"/>
      <c r="J986" s="39"/>
    </row>
    <row r="987" s="1" customFormat="1" spans="4:10">
      <c r="D987" s="2"/>
      <c r="E987" s="3"/>
      <c r="F987" s="3"/>
      <c r="G987" s="3"/>
      <c r="H987" s="3"/>
      <c r="I987" s="3"/>
      <c r="J987" s="39"/>
    </row>
    <row r="988" s="1" customFormat="1" spans="4:10">
      <c r="D988" s="2"/>
      <c r="E988" s="3"/>
      <c r="F988" s="3"/>
      <c r="G988" s="3"/>
      <c r="H988" s="3"/>
      <c r="I988" s="3"/>
      <c r="J988" s="39"/>
    </row>
    <row r="989" s="1" customFormat="1" spans="4:10">
      <c r="D989" s="2"/>
      <c r="E989" s="3"/>
      <c r="F989" s="3"/>
      <c r="G989" s="3"/>
      <c r="H989" s="3"/>
      <c r="I989" s="3"/>
      <c r="J989" s="39"/>
    </row>
    <row r="990" s="1" customFormat="1" spans="4:10">
      <c r="D990" s="2"/>
      <c r="E990" s="3"/>
      <c r="F990" s="3"/>
      <c r="G990" s="3"/>
      <c r="H990" s="3"/>
      <c r="I990" s="3"/>
      <c r="J990" s="39"/>
    </row>
    <row r="991" s="1" customFormat="1" spans="4:10">
      <c r="D991" s="2"/>
      <c r="E991" s="3"/>
      <c r="F991" s="3"/>
      <c r="G991" s="3"/>
      <c r="H991" s="3"/>
      <c r="I991" s="3"/>
      <c r="J991" s="39"/>
    </row>
    <row r="992" s="1" customFormat="1" spans="4:10">
      <c r="D992" s="2"/>
      <c r="E992" s="3"/>
      <c r="F992" s="3"/>
      <c r="G992" s="3"/>
      <c r="H992" s="3"/>
      <c r="I992" s="3"/>
      <c r="J992" s="39"/>
    </row>
    <row r="993" s="1" customFormat="1" spans="4:10">
      <c r="D993" s="2"/>
      <c r="E993" s="3"/>
      <c r="F993" s="3"/>
      <c r="G993" s="3"/>
      <c r="H993" s="3"/>
      <c r="I993" s="3"/>
      <c r="J993" s="39"/>
    </row>
    <row r="994" s="1" customFormat="1" spans="4:10">
      <c r="D994" s="2"/>
      <c r="E994" s="3"/>
      <c r="F994" s="3"/>
      <c r="G994" s="3"/>
      <c r="H994" s="3"/>
      <c r="I994" s="3"/>
      <c r="J994" s="39"/>
    </row>
    <row r="995" s="1" customFormat="1" spans="4:10">
      <c r="D995" s="2"/>
      <c r="E995" s="3"/>
      <c r="F995" s="3"/>
      <c r="G995" s="3"/>
      <c r="H995" s="3"/>
      <c r="I995" s="3"/>
      <c r="J995" s="39"/>
    </row>
    <row r="996" s="1" customFormat="1" spans="4:10">
      <c r="D996" s="2"/>
      <c r="E996" s="3"/>
      <c r="F996" s="3"/>
      <c r="G996" s="3"/>
      <c r="H996" s="3"/>
      <c r="I996" s="3"/>
      <c r="J996" s="39"/>
    </row>
    <row r="997" s="1" customFormat="1" spans="4:10">
      <c r="D997" s="2"/>
      <c r="E997" s="3"/>
      <c r="F997" s="3"/>
      <c r="G997" s="3"/>
      <c r="H997" s="3"/>
      <c r="I997" s="3"/>
      <c r="J997" s="39"/>
    </row>
    <row r="998" s="1" customFormat="1" spans="4:10">
      <c r="D998" s="2"/>
      <c r="E998" s="3"/>
      <c r="F998" s="3"/>
      <c r="G998" s="3"/>
      <c r="H998" s="3"/>
      <c r="I998" s="3"/>
      <c r="J998" s="39"/>
    </row>
    <row r="999" s="1" customFormat="1" spans="4:10">
      <c r="D999" s="2"/>
      <c r="E999" s="3"/>
      <c r="F999" s="3"/>
      <c r="G999" s="3"/>
      <c r="H999" s="3"/>
      <c r="I999" s="3"/>
      <c r="J999" s="39"/>
    </row>
    <row r="1000" s="1" customFormat="1" spans="4:10">
      <c r="D1000" s="2"/>
      <c r="E1000" s="3"/>
      <c r="F1000" s="3"/>
      <c r="G1000" s="3"/>
      <c r="H1000" s="3"/>
      <c r="I1000" s="3"/>
      <c r="J1000" s="39"/>
    </row>
    <row r="1001" s="1" customFormat="1" spans="4:10">
      <c r="D1001" s="2"/>
      <c r="E1001" s="3"/>
      <c r="F1001" s="3"/>
      <c r="G1001" s="3"/>
      <c r="H1001" s="3"/>
      <c r="I1001" s="3"/>
      <c r="J1001" s="39"/>
    </row>
    <row r="1002" s="1" customFormat="1" spans="4:10">
      <c r="D1002" s="2"/>
      <c r="E1002" s="3"/>
      <c r="F1002" s="3"/>
      <c r="G1002" s="3"/>
      <c r="H1002" s="3"/>
      <c r="I1002" s="3"/>
      <c r="J1002" s="39"/>
    </row>
    <row r="1003" s="1" customFormat="1" spans="4:10">
      <c r="D1003" s="2"/>
      <c r="E1003" s="3"/>
      <c r="F1003" s="3"/>
      <c r="G1003" s="3"/>
      <c r="H1003" s="3"/>
      <c r="I1003" s="3"/>
      <c r="J1003" s="39"/>
    </row>
    <row r="1004" s="1" customFormat="1" spans="4:10">
      <c r="D1004" s="2"/>
      <c r="E1004" s="3"/>
      <c r="F1004" s="3"/>
      <c r="G1004" s="3"/>
      <c r="H1004" s="3"/>
      <c r="I1004" s="3"/>
      <c r="J1004" s="39"/>
    </row>
    <row r="1005" s="1" customFormat="1" spans="4:10">
      <c r="D1005" s="2"/>
      <c r="E1005" s="3"/>
      <c r="F1005" s="3"/>
      <c r="G1005" s="3"/>
      <c r="H1005" s="3"/>
      <c r="I1005" s="3"/>
      <c r="J1005" s="39"/>
    </row>
    <row r="1006" s="1" customFormat="1" spans="4:10">
      <c r="D1006" s="2"/>
      <c r="E1006" s="3"/>
      <c r="F1006" s="3"/>
      <c r="G1006" s="3"/>
      <c r="H1006" s="3"/>
      <c r="I1006" s="3"/>
      <c r="J1006" s="39"/>
    </row>
    <row r="1007" s="1" customFormat="1" spans="4:10">
      <c r="D1007" s="2"/>
      <c r="E1007" s="3"/>
      <c r="F1007" s="3"/>
      <c r="G1007" s="3"/>
      <c r="H1007" s="3"/>
      <c r="I1007" s="3"/>
      <c r="J1007" s="39"/>
    </row>
    <row r="1008" s="1" customFormat="1" spans="4:10">
      <c r="D1008" s="2"/>
      <c r="E1008" s="3"/>
      <c r="F1008" s="3"/>
      <c r="G1008" s="3"/>
      <c r="H1008" s="3"/>
      <c r="I1008" s="3"/>
      <c r="J1008" s="39"/>
    </row>
    <row r="1009" s="1" customFormat="1" spans="4:10 16350:16379">
      <c r="D1009" s="2"/>
      <c r="E1009" s="3"/>
      <c r="F1009" s="3"/>
      <c r="G1009" s="3"/>
      <c r="H1009" s="3"/>
      <c r="I1009" s="3"/>
      <c r="J1009" s="39"/>
    </row>
    <row r="1010" s="1" customFormat="1" spans="4:10 16350:16379">
      <c r="D1010" s="2"/>
      <c r="E1010" s="3"/>
      <c r="F1010" s="3"/>
      <c r="G1010" s="3"/>
      <c r="H1010" s="3"/>
      <c r="I1010" s="3"/>
      <c r="J1010" s="39"/>
    </row>
    <row r="1011" s="1" customFormat="1" spans="4:10 16350:16379">
      <c r="D1011" s="2"/>
      <c r="E1011" s="3"/>
      <c r="F1011" s="3"/>
      <c r="G1011" s="3"/>
      <c r="H1011" s="3"/>
      <c r="I1011" s="3"/>
      <c r="J1011" s="39"/>
    </row>
    <row r="1012" s="1" customFormat="1" spans="4:10 16350:16379">
      <c r="D1012" s="2"/>
      <c r="E1012" s="3"/>
      <c r="F1012" s="3"/>
      <c r="G1012" s="3"/>
      <c r="H1012" s="3"/>
      <c r="I1012" s="3"/>
      <c r="J1012" s="39"/>
    </row>
    <row r="1013" s="1" customFormat="1" spans="4:10 16350:16379">
      <c r="D1013" s="2"/>
      <c r="E1013" s="3"/>
      <c r="F1013" s="3"/>
      <c r="G1013" s="3"/>
      <c r="H1013" s="3"/>
      <c r="I1013" s="3"/>
      <c r="J1013" s="39"/>
    </row>
    <row r="1014" s="1" customFormat="1" spans="4:10 16350:16379">
      <c r="D1014" s="2"/>
      <c r="E1014" s="3"/>
      <c r="F1014" s="3"/>
      <c r="G1014" s="3"/>
      <c r="H1014" s="3"/>
      <c r="I1014" s="3"/>
      <c r="J1014" s="39"/>
    </row>
    <row r="1015" s="1" customFormat="1" spans="4:10 16350:16379">
      <c r="D1015" s="2"/>
      <c r="E1015" s="3"/>
      <c r="F1015" s="3"/>
      <c r="G1015" s="3"/>
      <c r="H1015" s="3"/>
      <c r="I1015" s="3"/>
      <c r="J1015" s="39"/>
    </row>
    <row r="1016" s="1" customFormat="1" spans="4:10 16350:16379">
      <c r="D1016" s="2"/>
      <c r="E1016" s="3"/>
      <c r="F1016" s="3"/>
      <c r="G1016" s="3"/>
      <c r="H1016" s="3"/>
      <c r="I1016" s="3"/>
      <c r="J1016" s="39"/>
    </row>
    <row r="1017" s="1" customFormat="1" spans="4:10 16350:16379">
      <c r="D1017" s="2"/>
      <c r="E1017" s="3"/>
      <c r="F1017" s="3"/>
      <c r="G1017" s="3"/>
      <c r="H1017" s="3"/>
      <c r="I1017" s="3"/>
      <c r="J1017" s="39"/>
    </row>
    <row r="1018" s="1" customFormat="1" spans="4:10 16350:16379">
      <c r="D1018" s="2"/>
      <c r="E1018" s="3"/>
      <c r="F1018" s="3"/>
      <c r="G1018" s="3"/>
      <c r="H1018" s="3"/>
      <c r="I1018" s="3"/>
      <c r="J1018" s="39"/>
      <c r="XDV1018" s="4"/>
      <c r="XDW1018" s="4"/>
      <c r="XDX1018" s="4"/>
      <c r="XDY1018" s="4"/>
      <c r="XDZ1018" s="4"/>
      <c r="XEA1018" s="4"/>
      <c r="XEB1018" s="4"/>
      <c r="XEC1018" s="4"/>
      <c r="XED1018" s="4"/>
      <c r="XEE1018" s="4"/>
      <c r="XEF1018" s="4"/>
      <c r="XEG1018" s="4"/>
      <c r="XEH1018" s="4"/>
      <c r="XEI1018" s="4"/>
      <c r="XEJ1018" s="4"/>
      <c r="XEK1018" s="4"/>
      <c r="XEL1018" s="4"/>
      <c r="XEM1018" s="4"/>
      <c r="XEN1018" s="4"/>
      <c r="XEO1018" s="4"/>
      <c r="XEP1018" s="4"/>
      <c r="XEQ1018" s="4"/>
      <c r="XER1018" s="4"/>
      <c r="XES1018" s="4"/>
      <c r="XET1018" s="4"/>
      <c r="XEU1018" s="4"/>
      <c r="XEV1018" s="4"/>
      <c r="XEW1018" s="4"/>
      <c r="XEX1018" s="4"/>
      <c r="XEY1018" s="4"/>
    </row>
    <row r="1019" s="1" customFormat="1" spans="4:10 16350:16379">
      <c r="D1019" s="2"/>
      <c r="E1019" s="3"/>
      <c r="F1019" s="3"/>
      <c r="G1019" s="3"/>
      <c r="H1019" s="3"/>
      <c r="I1019" s="3"/>
      <c r="J1019" s="39"/>
      <c r="XDV1019" s="4"/>
      <c r="XDW1019" s="4"/>
      <c r="XDX1019" s="4"/>
      <c r="XDY1019" s="4"/>
      <c r="XDZ1019" s="4"/>
      <c r="XEA1019" s="4"/>
      <c r="XEB1019" s="4"/>
      <c r="XEC1019" s="4"/>
      <c r="XED1019" s="4"/>
      <c r="XEE1019" s="4"/>
      <c r="XEF1019" s="4"/>
      <c r="XEG1019" s="4"/>
      <c r="XEH1019" s="4"/>
      <c r="XEI1019" s="4"/>
      <c r="XEJ1019" s="4"/>
      <c r="XEK1019" s="4"/>
      <c r="XEL1019" s="4"/>
      <c r="XEM1019" s="4"/>
      <c r="XEN1019" s="4"/>
      <c r="XEO1019" s="4"/>
      <c r="XEP1019" s="4"/>
      <c r="XEQ1019" s="4"/>
      <c r="XER1019" s="4"/>
      <c r="XES1019" s="4"/>
      <c r="XET1019" s="4"/>
      <c r="XEU1019" s="4"/>
      <c r="XEV1019" s="4"/>
      <c r="XEW1019" s="4"/>
      <c r="XEX1019" s="4"/>
      <c r="XEY1019" s="4"/>
    </row>
  </sheetData>
  <autoFilter xmlns:etc="http://www.wps.cn/officeDocument/2017/etCustomData" ref="A3:J293" etc:filterBottomFollowUsedRange="0">
    <extLst/>
  </autoFilter>
  <mergeCells count="3">
    <mergeCell ref="D1:J1"/>
    <mergeCell ref="E3:I3"/>
    <mergeCell ref="J2:J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20"/>
  <sheetViews>
    <sheetView tabSelected="1" workbookViewId="0">
      <selection activeCell="I9" sqref="I9"/>
    </sheetView>
  </sheetViews>
  <sheetFormatPr defaultColWidth="15.3981481481481" defaultRowHeight="13.8"/>
  <cols>
    <col min="1" max="1" width="64" style="1" customWidth="1"/>
    <col min="2" max="3" width="14.6388888888889" style="1" customWidth="1"/>
    <col min="4" max="4" width="10.5555555555556" style="2" customWidth="1"/>
    <col min="5" max="5" width="8.22222222222222" style="3" customWidth="1"/>
    <col min="6" max="6" width="6.44444444444444" style="3" customWidth="1"/>
    <col min="7" max="7" width="6.33333333333333" style="3" customWidth="1"/>
    <col min="8" max="8" width="5.77777777777778" style="3" customWidth="1"/>
    <col min="9" max="10" width="8.44444444444444" style="3" customWidth="1"/>
    <col min="11" max="11" width="13.4444444444444" style="3" customWidth="1"/>
    <col min="12" max="16350" width="15.3981481481481" style="1"/>
    <col min="16351" max="16384" width="15.3981481481481" style="4"/>
  </cols>
  <sheetData>
    <row r="1" s="1" customFormat="1" ht="23.4" spans="1:11 16351:16383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s="1" customFormat="1" spans="1:11 16351:16383">
      <c r="A2" s="9"/>
      <c r="B2" s="10"/>
      <c r="C2" s="10"/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/>
      <c r="K2" s="12"/>
    </row>
    <row r="3" s="1" customFormat="1" spans="1:11 16351:16383">
      <c r="A3" s="9"/>
      <c r="B3" s="10"/>
      <c r="C3" s="10"/>
      <c r="D3" s="11"/>
      <c r="E3" s="11"/>
      <c r="F3" s="11"/>
      <c r="G3" s="11"/>
      <c r="H3" s="11"/>
      <c r="I3" s="11" t="s">
        <v>337</v>
      </c>
      <c r="J3" s="11" t="s">
        <v>338</v>
      </c>
      <c r="K3" s="12" t="s">
        <v>339</v>
      </c>
    </row>
    <row r="4" s="1" customFormat="1" spans="1:11 16351:16383">
      <c r="A4" s="13"/>
      <c r="B4" s="14"/>
      <c r="C4" s="14"/>
      <c r="D4" s="15"/>
      <c r="E4" s="11" t="s">
        <v>340</v>
      </c>
      <c r="F4" s="11"/>
      <c r="G4" s="11"/>
      <c r="H4" s="11"/>
      <c r="I4" s="11"/>
      <c r="J4" s="11"/>
      <c r="K4" s="11"/>
    </row>
    <row r="5" s="1" customFormat="1" spans="1:11 16351:16383">
      <c r="A5" s="16" t="s">
        <v>12</v>
      </c>
      <c r="B5" s="16"/>
      <c r="C5" s="16"/>
      <c r="D5" s="16"/>
      <c r="E5" s="17"/>
      <c r="F5" s="17"/>
      <c r="G5" s="17"/>
      <c r="H5" s="17"/>
      <c r="I5" s="17"/>
      <c r="J5" s="17"/>
      <c r="K5" s="18"/>
    </row>
    <row r="6" s="1" customFormat="1" spans="1:11 16351:16383">
      <c r="A6" s="19" t="s">
        <v>13</v>
      </c>
      <c r="B6" s="19"/>
      <c r="C6" s="19"/>
      <c r="D6" s="19"/>
      <c r="E6" s="20"/>
      <c r="F6" s="20"/>
      <c r="G6" s="20"/>
      <c r="H6" s="20"/>
      <c r="I6" s="20"/>
      <c r="J6" s="20"/>
      <c r="K6" s="21"/>
    </row>
    <row r="7" s="1" customFormat="1" spans="1:11 16351:16383">
      <c r="A7" s="22" t="s">
        <v>14</v>
      </c>
      <c r="B7" s="23" t="s">
        <v>15</v>
      </c>
      <c r="C7" s="23">
        <v>5000</v>
      </c>
      <c r="D7" s="24">
        <v>3000</v>
      </c>
      <c r="E7" s="25">
        <v>20000</v>
      </c>
      <c r="F7" s="25">
        <v>5000</v>
      </c>
      <c r="G7" s="25">
        <v>10000</v>
      </c>
      <c r="H7" s="25">
        <v>5000</v>
      </c>
      <c r="I7" s="25">
        <f>K7*0.25</f>
        <v>1875</v>
      </c>
      <c r="J7" s="25">
        <f>K7*0.75</f>
        <v>5625</v>
      </c>
      <c r="K7" s="25">
        <v>7500</v>
      </c>
    </row>
    <row r="8" s="1" customFormat="1" spans="1:11 16351:16383">
      <c r="A8" s="22" t="s">
        <v>16</v>
      </c>
      <c r="B8" s="23" t="s">
        <v>15</v>
      </c>
      <c r="C8" s="23">
        <v>4000</v>
      </c>
      <c r="D8" s="24">
        <v>2000</v>
      </c>
      <c r="E8" s="25">
        <v>16000</v>
      </c>
      <c r="F8" s="25">
        <v>5000</v>
      </c>
      <c r="G8" s="25">
        <v>10000</v>
      </c>
      <c r="H8" s="25">
        <v>5000</v>
      </c>
      <c r="I8" s="25">
        <f t="shared" ref="I8:I71" si="0">K8*0.25</f>
        <v>1250</v>
      </c>
      <c r="J8" s="25">
        <f t="shared" ref="J8:J71" si="1">K8*0.75</f>
        <v>3750</v>
      </c>
      <c r="K8" s="25">
        <v>5000</v>
      </c>
    </row>
    <row r="9" s="1" customFormat="1" spans="1:11 16351:16383">
      <c r="A9" s="22" t="s">
        <v>17</v>
      </c>
      <c r="B9" s="23" t="s">
        <v>15</v>
      </c>
      <c r="C9" s="23">
        <v>3000</v>
      </c>
      <c r="D9" s="24">
        <v>1500</v>
      </c>
      <c r="E9" s="25">
        <v>12000</v>
      </c>
      <c r="F9" s="25">
        <v>5000</v>
      </c>
      <c r="G9" s="25">
        <v>10000</v>
      </c>
      <c r="H9" s="25">
        <v>5000</v>
      </c>
      <c r="I9" s="25">
        <f t="shared" si="0"/>
        <v>937.5</v>
      </c>
      <c r="J9" s="25">
        <f t="shared" si="1"/>
        <v>2812.5</v>
      </c>
      <c r="K9" s="25">
        <v>3750</v>
      </c>
    </row>
    <row r="10" s="1" customFormat="1" spans="1:11 16351:16383">
      <c r="A10" s="22" t="s">
        <v>18</v>
      </c>
      <c r="B10" s="23" t="s">
        <v>15</v>
      </c>
      <c r="C10" s="23">
        <v>2000</v>
      </c>
      <c r="D10" s="24">
        <v>1000</v>
      </c>
      <c r="E10" s="25">
        <v>8000</v>
      </c>
      <c r="F10" s="25">
        <v>5000</v>
      </c>
      <c r="G10" s="25">
        <v>10000</v>
      </c>
      <c r="H10" s="25">
        <v>5000</v>
      </c>
      <c r="I10" s="25">
        <f t="shared" si="0"/>
        <v>625</v>
      </c>
      <c r="J10" s="25">
        <f t="shared" si="1"/>
        <v>1875</v>
      </c>
      <c r="K10" s="25">
        <v>2500</v>
      </c>
    </row>
    <row r="11" s="1" customFormat="1" spans="1:11 16351:16383">
      <c r="A11" s="22" t="s">
        <v>19</v>
      </c>
      <c r="B11" s="23" t="s">
        <v>15</v>
      </c>
      <c r="C11" s="23">
        <v>1000</v>
      </c>
      <c r="D11" s="24">
        <v>500</v>
      </c>
      <c r="E11" s="25">
        <v>4000</v>
      </c>
      <c r="F11" s="25">
        <v>5000</v>
      </c>
      <c r="G11" s="25">
        <v>10000</v>
      </c>
      <c r="H11" s="25">
        <v>5000</v>
      </c>
      <c r="I11" s="25">
        <f t="shared" si="0"/>
        <v>312.5</v>
      </c>
      <c r="J11" s="25">
        <f t="shared" si="1"/>
        <v>937.5</v>
      </c>
      <c r="K11" s="25">
        <v>1250</v>
      </c>
    </row>
    <row r="12" s="1" customFormat="1" spans="1:11 16351:16383">
      <c r="A12" s="26" t="s">
        <v>20</v>
      </c>
      <c r="B12" s="23" t="s">
        <v>15</v>
      </c>
      <c r="C12" s="23">
        <v>5000</v>
      </c>
      <c r="D12" s="24">
        <v>3000</v>
      </c>
      <c r="E12" s="25">
        <v>20000</v>
      </c>
      <c r="F12" s="25">
        <v>5000</v>
      </c>
      <c r="G12" s="25">
        <v>10000</v>
      </c>
      <c r="H12" s="25">
        <v>5000</v>
      </c>
      <c r="I12" s="25">
        <f t="shared" si="0"/>
        <v>1875</v>
      </c>
      <c r="J12" s="25">
        <f t="shared" si="1"/>
        <v>5625</v>
      </c>
      <c r="K12" s="25">
        <v>7500</v>
      </c>
    </row>
    <row r="13" s="1" customFormat="1" spans="1:11 16351:16383">
      <c r="A13" s="22" t="s">
        <v>21</v>
      </c>
      <c r="B13" s="23" t="s">
        <v>15</v>
      </c>
      <c r="C13" s="23">
        <v>4000</v>
      </c>
      <c r="D13" s="24">
        <v>2000</v>
      </c>
      <c r="E13" s="25">
        <v>16000</v>
      </c>
      <c r="F13" s="25">
        <v>5000</v>
      </c>
      <c r="G13" s="25">
        <v>10000</v>
      </c>
      <c r="H13" s="25">
        <v>5000</v>
      </c>
      <c r="I13" s="25">
        <f t="shared" si="0"/>
        <v>1250</v>
      </c>
      <c r="J13" s="25">
        <f t="shared" si="1"/>
        <v>3750</v>
      </c>
      <c r="K13" s="25">
        <v>5000</v>
      </c>
    </row>
    <row r="14" s="1" customFormat="1" spans="1:11 16351:16383">
      <c r="A14" s="22" t="s">
        <v>22</v>
      </c>
      <c r="B14" s="23" t="s">
        <v>15</v>
      </c>
      <c r="C14" s="23">
        <v>3000</v>
      </c>
      <c r="D14" s="24">
        <v>1500</v>
      </c>
      <c r="E14" s="25">
        <v>12000</v>
      </c>
      <c r="F14" s="25">
        <v>5000</v>
      </c>
      <c r="G14" s="25">
        <v>10000</v>
      </c>
      <c r="H14" s="25">
        <v>5000</v>
      </c>
      <c r="I14" s="25">
        <f t="shared" si="0"/>
        <v>937.5</v>
      </c>
      <c r="J14" s="25">
        <f t="shared" si="1"/>
        <v>2812.5</v>
      </c>
      <c r="K14" s="25">
        <v>3750</v>
      </c>
    </row>
    <row r="15" s="1" customFormat="1" spans="1:11 16351:16383">
      <c r="A15" s="22" t="s">
        <v>23</v>
      </c>
      <c r="B15" s="23" t="s">
        <v>15</v>
      </c>
      <c r="C15" s="23">
        <v>2000</v>
      </c>
      <c r="D15" s="24">
        <v>1000</v>
      </c>
      <c r="E15" s="25">
        <v>8000</v>
      </c>
      <c r="F15" s="25">
        <v>5000</v>
      </c>
      <c r="G15" s="25">
        <v>10000</v>
      </c>
      <c r="H15" s="25">
        <v>5000</v>
      </c>
      <c r="I15" s="25">
        <f t="shared" si="0"/>
        <v>625</v>
      </c>
      <c r="J15" s="25">
        <f t="shared" si="1"/>
        <v>1875</v>
      </c>
      <c r="K15" s="25">
        <v>2500</v>
      </c>
    </row>
    <row r="16" s="1" customFormat="1" spans="1:11 16351:16383">
      <c r="A16" s="22" t="s">
        <v>24</v>
      </c>
      <c r="B16" s="23" t="s">
        <v>15</v>
      </c>
      <c r="C16" s="23">
        <v>1000</v>
      </c>
      <c r="D16" s="24">
        <v>500</v>
      </c>
      <c r="E16" s="25">
        <v>4000</v>
      </c>
      <c r="F16" s="25">
        <v>5000</v>
      </c>
      <c r="G16" s="25">
        <v>10000</v>
      </c>
      <c r="H16" s="25">
        <v>5000</v>
      </c>
      <c r="I16" s="25">
        <f t="shared" si="0"/>
        <v>312.5</v>
      </c>
      <c r="J16" s="25">
        <f t="shared" si="1"/>
        <v>937.5</v>
      </c>
      <c r="K16" s="25">
        <v>1250</v>
      </c>
    </row>
    <row r="17" s="1" customFormat="1" spans="1:11">
      <c r="A17" s="22" t="s">
        <v>25</v>
      </c>
      <c r="B17" s="23" t="s">
        <v>15</v>
      </c>
      <c r="C17" s="23">
        <v>3000</v>
      </c>
      <c r="D17" s="24">
        <v>3000</v>
      </c>
      <c r="E17" s="25">
        <v>12000</v>
      </c>
      <c r="F17" s="25">
        <v>5000</v>
      </c>
      <c r="G17" s="25">
        <v>10000</v>
      </c>
      <c r="H17" s="25">
        <v>5000</v>
      </c>
      <c r="I17" s="25">
        <f t="shared" si="0"/>
        <v>1875</v>
      </c>
      <c r="J17" s="25">
        <f t="shared" si="1"/>
        <v>5625</v>
      </c>
      <c r="K17" s="25">
        <v>7500</v>
      </c>
    </row>
    <row r="18" s="1" customFormat="1" spans="1:11">
      <c r="A18" s="22" t="s">
        <v>26</v>
      </c>
      <c r="B18" s="23" t="s">
        <v>15</v>
      </c>
      <c r="C18" s="23">
        <v>2000</v>
      </c>
      <c r="D18" s="24">
        <v>2000</v>
      </c>
      <c r="E18" s="25">
        <v>8000</v>
      </c>
      <c r="F18" s="25">
        <v>5000</v>
      </c>
      <c r="G18" s="25">
        <v>10000</v>
      </c>
      <c r="H18" s="25">
        <v>5000</v>
      </c>
      <c r="I18" s="25">
        <f t="shared" si="0"/>
        <v>1250</v>
      </c>
      <c r="J18" s="25">
        <f t="shared" si="1"/>
        <v>3750</v>
      </c>
      <c r="K18" s="25">
        <v>5000</v>
      </c>
    </row>
    <row r="19" s="1" customFormat="1" spans="1:11">
      <c r="A19" s="22" t="s">
        <v>27</v>
      </c>
      <c r="B19" s="23" t="s">
        <v>15</v>
      </c>
      <c r="C19" s="23">
        <v>1000</v>
      </c>
      <c r="D19" s="24">
        <v>1000</v>
      </c>
      <c r="E19" s="25">
        <v>4000</v>
      </c>
      <c r="F19" s="25">
        <v>5000</v>
      </c>
      <c r="G19" s="25">
        <v>10000</v>
      </c>
      <c r="H19" s="25">
        <v>5000</v>
      </c>
      <c r="I19" s="25">
        <f t="shared" si="0"/>
        <v>625</v>
      </c>
      <c r="J19" s="25">
        <f t="shared" si="1"/>
        <v>1875</v>
      </c>
      <c r="K19" s="25">
        <v>2500</v>
      </c>
    </row>
    <row r="20" s="1" customFormat="1" spans="1:11">
      <c r="A20" s="22" t="s">
        <v>28</v>
      </c>
      <c r="B20" s="23" t="s">
        <v>15</v>
      </c>
      <c r="C20" s="23">
        <v>3000</v>
      </c>
      <c r="D20" s="24">
        <v>3000</v>
      </c>
      <c r="E20" s="25">
        <v>12000</v>
      </c>
      <c r="F20" s="25">
        <v>5000</v>
      </c>
      <c r="G20" s="25">
        <v>10000</v>
      </c>
      <c r="H20" s="25">
        <v>5000</v>
      </c>
      <c r="I20" s="25">
        <f t="shared" si="0"/>
        <v>1875</v>
      </c>
      <c r="J20" s="25">
        <f t="shared" si="1"/>
        <v>5625</v>
      </c>
      <c r="K20" s="25">
        <v>7500</v>
      </c>
    </row>
    <row r="21" s="1" customFormat="1" spans="1:11">
      <c r="A21" s="22" t="s">
        <v>29</v>
      </c>
      <c r="B21" s="23" t="s">
        <v>15</v>
      </c>
      <c r="C21" s="23">
        <v>2000</v>
      </c>
      <c r="D21" s="24">
        <v>1000</v>
      </c>
      <c r="E21" s="25">
        <v>8000</v>
      </c>
      <c r="F21" s="25">
        <v>5000</v>
      </c>
      <c r="G21" s="25">
        <v>10000</v>
      </c>
      <c r="H21" s="25">
        <v>5000</v>
      </c>
      <c r="I21" s="25">
        <f t="shared" si="0"/>
        <v>625</v>
      </c>
      <c r="J21" s="25">
        <f t="shared" si="1"/>
        <v>1875</v>
      </c>
      <c r="K21" s="25">
        <v>2500</v>
      </c>
    </row>
    <row r="22" s="1" customFormat="1" spans="1:11">
      <c r="A22" s="22" t="s">
        <v>30</v>
      </c>
      <c r="B22" s="23" t="s">
        <v>15</v>
      </c>
      <c r="C22" s="23">
        <v>1000</v>
      </c>
      <c r="D22" s="24">
        <v>500</v>
      </c>
      <c r="E22" s="25">
        <v>4000</v>
      </c>
      <c r="F22" s="25">
        <v>5000</v>
      </c>
      <c r="G22" s="25">
        <v>10000</v>
      </c>
      <c r="H22" s="25">
        <v>5000</v>
      </c>
      <c r="I22" s="25">
        <f t="shared" si="0"/>
        <v>312.5</v>
      </c>
      <c r="J22" s="25">
        <f t="shared" si="1"/>
        <v>937.5</v>
      </c>
      <c r="K22" s="25">
        <v>1250</v>
      </c>
    </row>
    <row r="23" s="1" customFormat="1" ht="27.6" spans="1:11">
      <c r="A23" s="22" t="s">
        <v>31</v>
      </c>
      <c r="B23" s="23" t="s">
        <v>15</v>
      </c>
      <c r="C23" s="23">
        <v>3000</v>
      </c>
      <c r="D23" s="24">
        <v>3000</v>
      </c>
      <c r="E23" s="25">
        <v>12000</v>
      </c>
      <c r="F23" s="25">
        <v>5000</v>
      </c>
      <c r="G23" s="25">
        <v>10000</v>
      </c>
      <c r="H23" s="25">
        <v>5000</v>
      </c>
      <c r="I23" s="25">
        <f t="shared" si="0"/>
        <v>1875</v>
      </c>
      <c r="J23" s="25">
        <f t="shared" si="1"/>
        <v>5625</v>
      </c>
      <c r="K23" s="25">
        <v>7500</v>
      </c>
    </row>
    <row r="24" s="1" customFormat="1" ht="27.6" spans="1:11">
      <c r="A24" s="22" t="s">
        <v>32</v>
      </c>
      <c r="B24" s="23" t="s">
        <v>15</v>
      </c>
      <c r="C24" s="23">
        <v>2000</v>
      </c>
      <c r="D24" s="24">
        <v>1000</v>
      </c>
      <c r="E24" s="25">
        <v>8000</v>
      </c>
      <c r="F24" s="25">
        <v>5000</v>
      </c>
      <c r="G24" s="25">
        <v>10000</v>
      </c>
      <c r="H24" s="25">
        <v>5000</v>
      </c>
      <c r="I24" s="25">
        <f t="shared" si="0"/>
        <v>625</v>
      </c>
      <c r="J24" s="25">
        <f t="shared" si="1"/>
        <v>1875</v>
      </c>
      <c r="K24" s="25">
        <v>2500</v>
      </c>
    </row>
    <row r="25" s="1" customFormat="1" ht="27.6" spans="1:11">
      <c r="A25" s="22" t="s">
        <v>33</v>
      </c>
      <c r="B25" s="23" t="s">
        <v>15</v>
      </c>
      <c r="C25" s="23">
        <v>1000</v>
      </c>
      <c r="D25" s="24">
        <v>500</v>
      </c>
      <c r="E25" s="25">
        <v>4000</v>
      </c>
      <c r="F25" s="25">
        <v>5000</v>
      </c>
      <c r="G25" s="25">
        <v>10000</v>
      </c>
      <c r="H25" s="25">
        <v>5000</v>
      </c>
      <c r="I25" s="25">
        <f t="shared" si="0"/>
        <v>312.5</v>
      </c>
      <c r="J25" s="25">
        <f t="shared" si="1"/>
        <v>937.5</v>
      </c>
      <c r="K25" s="25">
        <v>1250</v>
      </c>
    </row>
    <row r="26" s="1" customFormat="1" spans="1:11">
      <c r="A26" s="22" t="s">
        <v>34</v>
      </c>
      <c r="B26" s="23" t="s">
        <v>15</v>
      </c>
      <c r="C26" s="23"/>
      <c r="D26" s="24">
        <v>500</v>
      </c>
      <c r="E26" s="25">
        <v>0</v>
      </c>
      <c r="F26" s="25">
        <v>5000</v>
      </c>
      <c r="G26" s="25">
        <v>10000</v>
      </c>
      <c r="H26" s="25">
        <v>5000</v>
      </c>
      <c r="I26" s="25">
        <f t="shared" si="0"/>
        <v>312.5</v>
      </c>
      <c r="J26" s="25">
        <f t="shared" si="1"/>
        <v>937.5</v>
      </c>
      <c r="K26" s="25">
        <v>1250</v>
      </c>
    </row>
    <row r="27" s="1" customFormat="1" ht="41.4" spans="1:11">
      <c r="A27" s="22" t="s">
        <v>35</v>
      </c>
      <c r="B27" s="23" t="s">
        <v>36</v>
      </c>
      <c r="C27" s="23"/>
      <c r="D27" s="24">
        <v>500</v>
      </c>
      <c r="E27" s="25">
        <v>0</v>
      </c>
      <c r="F27" s="25">
        <v>5000</v>
      </c>
      <c r="G27" s="25">
        <v>10000</v>
      </c>
      <c r="H27" s="25">
        <v>5000</v>
      </c>
      <c r="I27" s="25">
        <f t="shared" si="0"/>
        <v>312.5</v>
      </c>
      <c r="J27" s="25">
        <f t="shared" si="1"/>
        <v>937.5</v>
      </c>
      <c r="K27" s="25">
        <v>1250</v>
      </c>
    </row>
    <row r="28" s="1" customFormat="1" ht="41.4" spans="1:11">
      <c r="A28" s="22" t="s">
        <v>37</v>
      </c>
      <c r="B28" s="23" t="s">
        <v>36</v>
      </c>
      <c r="C28" s="23"/>
      <c r="D28" s="24">
        <v>500</v>
      </c>
      <c r="E28" s="25">
        <v>0</v>
      </c>
      <c r="F28" s="25">
        <v>5000</v>
      </c>
      <c r="G28" s="25">
        <v>10000</v>
      </c>
      <c r="H28" s="25">
        <v>5000</v>
      </c>
      <c r="I28" s="25">
        <f t="shared" si="0"/>
        <v>312.5</v>
      </c>
      <c r="J28" s="25">
        <f t="shared" si="1"/>
        <v>937.5</v>
      </c>
      <c r="K28" s="25">
        <v>1250</v>
      </c>
    </row>
    <row r="29" s="1" customFormat="1" spans="1:11">
      <c r="A29" s="22" t="s">
        <v>38</v>
      </c>
      <c r="B29" s="23" t="s">
        <v>15</v>
      </c>
      <c r="C29" s="23">
        <v>5000</v>
      </c>
      <c r="D29" s="24">
        <v>3000</v>
      </c>
      <c r="E29" s="25">
        <v>20000</v>
      </c>
      <c r="F29" s="25">
        <v>5000</v>
      </c>
      <c r="G29" s="25">
        <v>10000</v>
      </c>
      <c r="H29" s="25">
        <v>5000</v>
      </c>
      <c r="I29" s="25">
        <f t="shared" si="0"/>
        <v>1875</v>
      </c>
      <c r="J29" s="25">
        <f t="shared" si="1"/>
        <v>5625</v>
      </c>
      <c r="K29" s="25">
        <v>7500</v>
      </c>
    </row>
    <row r="30" s="1" customFormat="1" spans="1:11">
      <c r="A30" s="22" t="s">
        <v>39</v>
      </c>
      <c r="B30" s="23" t="s">
        <v>15</v>
      </c>
      <c r="C30" s="23">
        <v>4000</v>
      </c>
      <c r="D30" s="24">
        <v>2000</v>
      </c>
      <c r="E30" s="25">
        <v>16000</v>
      </c>
      <c r="F30" s="25">
        <v>5000</v>
      </c>
      <c r="G30" s="25">
        <v>10000</v>
      </c>
      <c r="H30" s="25">
        <v>5000</v>
      </c>
      <c r="I30" s="25">
        <f t="shared" si="0"/>
        <v>1250</v>
      </c>
      <c r="J30" s="25">
        <f t="shared" si="1"/>
        <v>3750</v>
      </c>
      <c r="K30" s="25">
        <v>5000</v>
      </c>
    </row>
    <row r="31" s="1" customFormat="1" spans="1:11">
      <c r="A31" s="22" t="s">
        <v>40</v>
      </c>
      <c r="B31" s="23" t="s">
        <v>15</v>
      </c>
      <c r="C31" s="23">
        <v>3000</v>
      </c>
      <c r="D31" s="24">
        <v>1500</v>
      </c>
      <c r="E31" s="25">
        <v>12000</v>
      </c>
      <c r="F31" s="25">
        <v>5000</v>
      </c>
      <c r="G31" s="25">
        <v>10000</v>
      </c>
      <c r="H31" s="25">
        <v>5000</v>
      </c>
      <c r="I31" s="25">
        <f t="shared" si="0"/>
        <v>937.5</v>
      </c>
      <c r="J31" s="25">
        <f t="shared" si="1"/>
        <v>2812.5</v>
      </c>
      <c r="K31" s="25">
        <v>3750</v>
      </c>
    </row>
    <row r="32" s="1" customFormat="1" spans="1:11">
      <c r="A32" s="22" t="s">
        <v>41</v>
      </c>
      <c r="B32" s="23" t="s">
        <v>15</v>
      </c>
      <c r="C32" s="23">
        <v>2000</v>
      </c>
      <c r="D32" s="24">
        <v>1000</v>
      </c>
      <c r="E32" s="25">
        <v>8000</v>
      </c>
      <c r="F32" s="25">
        <v>5000</v>
      </c>
      <c r="G32" s="25">
        <v>10000</v>
      </c>
      <c r="H32" s="25">
        <v>5000</v>
      </c>
      <c r="I32" s="25">
        <f t="shared" si="0"/>
        <v>625</v>
      </c>
      <c r="J32" s="25">
        <f t="shared" si="1"/>
        <v>1875</v>
      </c>
      <c r="K32" s="25">
        <v>2500</v>
      </c>
    </row>
    <row r="33" s="1" customFormat="1" spans="1:11">
      <c r="A33" s="22" t="s">
        <v>42</v>
      </c>
      <c r="B33" s="23" t="s">
        <v>15</v>
      </c>
      <c r="C33" s="23">
        <v>1000</v>
      </c>
      <c r="D33" s="24">
        <v>500</v>
      </c>
      <c r="E33" s="25">
        <v>4000</v>
      </c>
      <c r="F33" s="25">
        <v>5000</v>
      </c>
      <c r="G33" s="25">
        <v>10000</v>
      </c>
      <c r="H33" s="25">
        <v>5000</v>
      </c>
      <c r="I33" s="25">
        <f t="shared" si="0"/>
        <v>312.5</v>
      </c>
      <c r="J33" s="25">
        <f t="shared" si="1"/>
        <v>937.5</v>
      </c>
      <c r="K33" s="25">
        <v>1250</v>
      </c>
    </row>
    <row r="34" s="1" customFormat="1" spans="1:11">
      <c r="A34" s="22" t="s">
        <v>43</v>
      </c>
      <c r="B34" s="23" t="s">
        <v>15</v>
      </c>
      <c r="C34" s="23">
        <v>5000</v>
      </c>
      <c r="D34" s="24">
        <v>3000</v>
      </c>
      <c r="E34" s="25">
        <v>20000</v>
      </c>
      <c r="F34" s="25">
        <v>5000</v>
      </c>
      <c r="G34" s="25">
        <v>10000</v>
      </c>
      <c r="H34" s="25">
        <v>5000</v>
      </c>
      <c r="I34" s="25">
        <f t="shared" si="0"/>
        <v>1875</v>
      </c>
      <c r="J34" s="25">
        <f t="shared" si="1"/>
        <v>5625</v>
      </c>
      <c r="K34" s="25">
        <v>7500</v>
      </c>
    </row>
    <row r="35" s="1" customFormat="1" spans="1:11">
      <c r="A35" s="22" t="s">
        <v>44</v>
      </c>
      <c r="B35" s="23" t="s">
        <v>15</v>
      </c>
      <c r="C35" s="23">
        <v>4000</v>
      </c>
      <c r="D35" s="24">
        <v>2000</v>
      </c>
      <c r="E35" s="25">
        <v>16000</v>
      </c>
      <c r="F35" s="25">
        <v>5000</v>
      </c>
      <c r="G35" s="25">
        <v>10000</v>
      </c>
      <c r="H35" s="25">
        <v>5000</v>
      </c>
      <c r="I35" s="25">
        <f t="shared" si="0"/>
        <v>1250</v>
      </c>
      <c r="J35" s="25">
        <f t="shared" si="1"/>
        <v>3750</v>
      </c>
      <c r="K35" s="25">
        <v>5000</v>
      </c>
    </row>
    <row r="36" s="1" customFormat="1" spans="1:11">
      <c r="A36" s="22" t="s">
        <v>45</v>
      </c>
      <c r="B36" s="23" t="s">
        <v>15</v>
      </c>
      <c r="C36" s="23">
        <v>3000</v>
      </c>
      <c r="D36" s="24">
        <v>1500</v>
      </c>
      <c r="E36" s="25">
        <v>12000</v>
      </c>
      <c r="F36" s="25">
        <v>5000</v>
      </c>
      <c r="G36" s="25">
        <v>10000</v>
      </c>
      <c r="H36" s="25">
        <v>5000</v>
      </c>
      <c r="I36" s="25">
        <f t="shared" si="0"/>
        <v>937.5</v>
      </c>
      <c r="J36" s="25">
        <f t="shared" si="1"/>
        <v>2812.5</v>
      </c>
      <c r="K36" s="25">
        <v>3750</v>
      </c>
    </row>
    <row r="37" s="1" customFormat="1" spans="1:11">
      <c r="A37" s="22" t="s">
        <v>46</v>
      </c>
      <c r="B37" s="23" t="s">
        <v>15</v>
      </c>
      <c r="C37" s="23">
        <v>2000</v>
      </c>
      <c r="D37" s="24">
        <v>1000</v>
      </c>
      <c r="E37" s="25">
        <v>8000</v>
      </c>
      <c r="F37" s="25">
        <v>5000</v>
      </c>
      <c r="G37" s="25">
        <v>10000</v>
      </c>
      <c r="H37" s="25">
        <v>5000</v>
      </c>
      <c r="I37" s="25">
        <f t="shared" si="0"/>
        <v>625</v>
      </c>
      <c r="J37" s="25">
        <f t="shared" si="1"/>
        <v>1875</v>
      </c>
      <c r="K37" s="25">
        <v>2500</v>
      </c>
    </row>
    <row r="38" s="1" customFormat="1" spans="1:11">
      <c r="A38" s="22" t="s">
        <v>47</v>
      </c>
      <c r="B38" s="23" t="s">
        <v>15</v>
      </c>
      <c r="C38" s="23">
        <v>1000</v>
      </c>
      <c r="D38" s="24">
        <v>500</v>
      </c>
      <c r="E38" s="25">
        <v>4000</v>
      </c>
      <c r="F38" s="25">
        <v>5000</v>
      </c>
      <c r="G38" s="25">
        <v>10000</v>
      </c>
      <c r="H38" s="25">
        <v>5000</v>
      </c>
      <c r="I38" s="25">
        <f t="shared" si="0"/>
        <v>312.5</v>
      </c>
      <c r="J38" s="25">
        <f t="shared" si="1"/>
        <v>937.5</v>
      </c>
      <c r="K38" s="25">
        <v>1250</v>
      </c>
    </row>
    <row r="39" s="1" customFormat="1" spans="1:11">
      <c r="A39" s="22" t="s">
        <v>48</v>
      </c>
      <c r="B39" s="23" t="s">
        <v>15</v>
      </c>
      <c r="C39" s="23">
        <v>5000</v>
      </c>
      <c r="D39" s="24">
        <v>3000</v>
      </c>
      <c r="E39" s="25">
        <v>20000</v>
      </c>
      <c r="F39" s="25">
        <v>5000</v>
      </c>
      <c r="G39" s="25">
        <v>10000</v>
      </c>
      <c r="H39" s="25">
        <v>5000</v>
      </c>
      <c r="I39" s="25">
        <f t="shared" si="0"/>
        <v>1875</v>
      </c>
      <c r="J39" s="25">
        <f t="shared" si="1"/>
        <v>5625</v>
      </c>
      <c r="K39" s="25">
        <v>7500</v>
      </c>
    </row>
    <row r="40" s="1" customFormat="1" spans="1:11">
      <c r="A40" s="22" t="s">
        <v>49</v>
      </c>
      <c r="B40" s="23" t="s">
        <v>15</v>
      </c>
      <c r="C40" s="23">
        <v>4000</v>
      </c>
      <c r="D40" s="24">
        <v>2000</v>
      </c>
      <c r="E40" s="25">
        <v>16000</v>
      </c>
      <c r="F40" s="25">
        <v>5000</v>
      </c>
      <c r="G40" s="25">
        <v>10000</v>
      </c>
      <c r="H40" s="25">
        <v>5000</v>
      </c>
      <c r="I40" s="25">
        <f t="shared" si="0"/>
        <v>1250</v>
      </c>
      <c r="J40" s="25">
        <f t="shared" si="1"/>
        <v>3750</v>
      </c>
      <c r="K40" s="25">
        <v>5000</v>
      </c>
    </row>
    <row r="41" s="1" customFormat="1" spans="1:11">
      <c r="A41" s="22" t="s">
        <v>50</v>
      </c>
      <c r="B41" s="23" t="s">
        <v>15</v>
      </c>
      <c r="C41" s="23">
        <v>3000</v>
      </c>
      <c r="D41" s="24">
        <v>1500</v>
      </c>
      <c r="E41" s="25">
        <v>12000</v>
      </c>
      <c r="F41" s="25">
        <v>5000</v>
      </c>
      <c r="G41" s="25">
        <v>10000</v>
      </c>
      <c r="H41" s="25">
        <v>5000</v>
      </c>
      <c r="I41" s="25">
        <f t="shared" si="0"/>
        <v>937.5</v>
      </c>
      <c r="J41" s="25">
        <f t="shared" si="1"/>
        <v>2812.5</v>
      </c>
      <c r="K41" s="25">
        <v>3750</v>
      </c>
    </row>
    <row r="42" s="1" customFormat="1" spans="1:11">
      <c r="A42" s="22" t="s">
        <v>51</v>
      </c>
      <c r="B42" s="23" t="s">
        <v>15</v>
      </c>
      <c r="C42" s="23">
        <v>2000</v>
      </c>
      <c r="D42" s="24">
        <v>1000</v>
      </c>
      <c r="E42" s="25">
        <v>8000</v>
      </c>
      <c r="F42" s="25">
        <v>5000</v>
      </c>
      <c r="G42" s="25">
        <v>10000</v>
      </c>
      <c r="H42" s="25">
        <v>5000</v>
      </c>
      <c r="I42" s="25">
        <f t="shared" si="0"/>
        <v>625</v>
      </c>
      <c r="J42" s="25">
        <f t="shared" si="1"/>
        <v>1875</v>
      </c>
      <c r="K42" s="25">
        <v>2500</v>
      </c>
    </row>
    <row r="43" s="1" customFormat="1" spans="1:11">
      <c r="A43" s="22" t="s">
        <v>52</v>
      </c>
      <c r="B43" s="23" t="s">
        <v>15</v>
      </c>
      <c r="C43" s="23">
        <v>1000</v>
      </c>
      <c r="D43" s="24">
        <v>500</v>
      </c>
      <c r="E43" s="25">
        <v>4000</v>
      </c>
      <c r="F43" s="25">
        <v>5000</v>
      </c>
      <c r="G43" s="25">
        <v>10000</v>
      </c>
      <c r="H43" s="25">
        <v>5000</v>
      </c>
      <c r="I43" s="25">
        <f t="shared" si="0"/>
        <v>312.5</v>
      </c>
      <c r="J43" s="25">
        <f t="shared" si="1"/>
        <v>937.5</v>
      </c>
      <c r="K43" s="25">
        <v>1250</v>
      </c>
    </row>
    <row r="44" s="1" customFormat="1" spans="1:11">
      <c r="A44" s="22" t="s">
        <v>53</v>
      </c>
      <c r="B44" s="23" t="s">
        <v>15</v>
      </c>
      <c r="C44" s="23">
        <v>5000</v>
      </c>
      <c r="D44" s="24">
        <v>3000</v>
      </c>
      <c r="E44" s="25">
        <v>20000</v>
      </c>
      <c r="F44" s="25">
        <v>5000</v>
      </c>
      <c r="G44" s="25">
        <v>10000</v>
      </c>
      <c r="H44" s="25">
        <v>5000</v>
      </c>
      <c r="I44" s="25">
        <f t="shared" si="0"/>
        <v>1875</v>
      </c>
      <c r="J44" s="25">
        <f t="shared" si="1"/>
        <v>5625</v>
      </c>
      <c r="K44" s="25">
        <v>7500</v>
      </c>
    </row>
    <row r="45" s="1" customFormat="1" spans="1:11">
      <c r="A45" s="22" t="s">
        <v>54</v>
      </c>
      <c r="B45" s="23" t="s">
        <v>15</v>
      </c>
      <c r="C45" s="23">
        <v>4000</v>
      </c>
      <c r="D45" s="24">
        <v>2000</v>
      </c>
      <c r="E45" s="25">
        <v>16000</v>
      </c>
      <c r="F45" s="25">
        <v>5000</v>
      </c>
      <c r="G45" s="25">
        <v>10000</v>
      </c>
      <c r="H45" s="25">
        <v>5000</v>
      </c>
      <c r="I45" s="25">
        <f t="shared" si="0"/>
        <v>1250</v>
      </c>
      <c r="J45" s="25">
        <f t="shared" si="1"/>
        <v>3750</v>
      </c>
      <c r="K45" s="25">
        <v>5000</v>
      </c>
    </row>
    <row r="46" s="1" customFormat="1" spans="1:11">
      <c r="A46" s="22" t="s">
        <v>55</v>
      </c>
      <c r="B46" s="23" t="s">
        <v>15</v>
      </c>
      <c r="C46" s="23">
        <v>3000</v>
      </c>
      <c r="D46" s="24">
        <v>1500</v>
      </c>
      <c r="E46" s="25">
        <v>12000</v>
      </c>
      <c r="F46" s="25">
        <v>5000</v>
      </c>
      <c r="G46" s="25">
        <v>10000</v>
      </c>
      <c r="H46" s="25">
        <v>5000</v>
      </c>
      <c r="I46" s="25">
        <f t="shared" si="0"/>
        <v>937.5</v>
      </c>
      <c r="J46" s="25">
        <f t="shared" si="1"/>
        <v>2812.5</v>
      </c>
      <c r="K46" s="25">
        <v>3750</v>
      </c>
    </row>
    <row r="47" s="1" customFormat="1" spans="1:11">
      <c r="A47" s="22" t="s">
        <v>56</v>
      </c>
      <c r="B47" s="23" t="s">
        <v>15</v>
      </c>
      <c r="C47" s="23">
        <v>2000</v>
      </c>
      <c r="D47" s="24">
        <v>1000</v>
      </c>
      <c r="E47" s="25">
        <v>8000</v>
      </c>
      <c r="F47" s="25">
        <v>5000</v>
      </c>
      <c r="G47" s="25">
        <v>10000</v>
      </c>
      <c r="H47" s="25">
        <v>5000</v>
      </c>
      <c r="I47" s="25">
        <f t="shared" si="0"/>
        <v>625</v>
      </c>
      <c r="J47" s="25">
        <f t="shared" si="1"/>
        <v>1875</v>
      </c>
      <c r="K47" s="25">
        <v>2500</v>
      </c>
    </row>
    <row r="48" s="1" customFormat="1" spans="1:11">
      <c r="A48" s="22" t="s">
        <v>57</v>
      </c>
      <c r="B48" s="23" t="s">
        <v>15</v>
      </c>
      <c r="C48" s="23">
        <v>1000</v>
      </c>
      <c r="D48" s="24">
        <v>500</v>
      </c>
      <c r="E48" s="25">
        <v>4000</v>
      </c>
      <c r="F48" s="25">
        <v>5000</v>
      </c>
      <c r="G48" s="25">
        <v>10000</v>
      </c>
      <c r="H48" s="25">
        <v>5000</v>
      </c>
      <c r="I48" s="25">
        <f t="shared" si="0"/>
        <v>312.5</v>
      </c>
      <c r="J48" s="25">
        <f t="shared" si="1"/>
        <v>937.5</v>
      </c>
      <c r="K48" s="25">
        <v>1250</v>
      </c>
    </row>
    <row r="49" s="1" customFormat="1" spans="1:11">
      <c r="A49" s="22" t="s">
        <v>58</v>
      </c>
      <c r="B49" s="23"/>
      <c r="C49" s="23">
        <v>5000</v>
      </c>
      <c r="D49" s="24">
        <v>500</v>
      </c>
      <c r="E49" s="25">
        <v>20000</v>
      </c>
      <c r="F49" s="25">
        <v>5000</v>
      </c>
      <c r="G49" s="25">
        <v>10000</v>
      </c>
      <c r="H49" s="25">
        <v>5000</v>
      </c>
      <c r="I49" s="25">
        <f t="shared" si="0"/>
        <v>312.5</v>
      </c>
      <c r="J49" s="25">
        <f t="shared" si="1"/>
        <v>937.5</v>
      </c>
      <c r="K49" s="25">
        <v>1250</v>
      </c>
    </row>
    <row r="50" s="1" customFormat="1" spans="1:11">
      <c r="A50" s="22" t="s">
        <v>59</v>
      </c>
      <c r="B50" s="23" t="s">
        <v>15</v>
      </c>
      <c r="C50" s="23">
        <v>4000</v>
      </c>
      <c r="D50" s="24">
        <v>2000</v>
      </c>
      <c r="E50" s="25">
        <v>16000</v>
      </c>
      <c r="F50" s="25">
        <v>5000</v>
      </c>
      <c r="G50" s="25">
        <v>10000</v>
      </c>
      <c r="H50" s="25">
        <v>5000</v>
      </c>
      <c r="I50" s="25">
        <f t="shared" si="0"/>
        <v>1250</v>
      </c>
      <c r="J50" s="25">
        <f t="shared" si="1"/>
        <v>3750</v>
      </c>
      <c r="K50" s="25">
        <v>5000</v>
      </c>
    </row>
    <row r="51" s="1" customFormat="1" spans="1:11">
      <c r="A51" s="22" t="s">
        <v>60</v>
      </c>
      <c r="B51" s="23" t="s">
        <v>15</v>
      </c>
      <c r="C51" s="23">
        <v>3000</v>
      </c>
      <c r="D51" s="24">
        <v>1500</v>
      </c>
      <c r="E51" s="25">
        <v>12000</v>
      </c>
      <c r="F51" s="25">
        <v>5000</v>
      </c>
      <c r="G51" s="25">
        <v>10000</v>
      </c>
      <c r="H51" s="25">
        <v>5000</v>
      </c>
      <c r="I51" s="25">
        <f t="shared" si="0"/>
        <v>937.5</v>
      </c>
      <c r="J51" s="25">
        <f t="shared" si="1"/>
        <v>2812.5</v>
      </c>
      <c r="K51" s="25">
        <v>3750</v>
      </c>
    </row>
    <row r="52" s="1" customFormat="1" spans="1:11">
      <c r="A52" s="22" t="s">
        <v>61</v>
      </c>
      <c r="B52" s="23" t="s">
        <v>15</v>
      </c>
      <c r="C52" s="23">
        <v>2000</v>
      </c>
      <c r="D52" s="24">
        <v>1000</v>
      </c>
      <c r="E52" s="25">
        <v>8000</v>
      </c>
      <c r="F52" s="25">
        <v>5000</v>
      </c>
      <c r="G52" s="25">
        <v>10000</v>
      </c>
      <c r="H52" s="25">
        <v>5000</v>
      </c>
      <c r="I52" s="25">
        <f t="shared" si="0"/>
        <v>625</v>
      </c>
      <c r="J52" s="25">
        <f t="shared" si="1"/>
        <v>1875</v>
      </c>
      <c r="K52" s="25">
        <v>2500</v>
      </c>
    </row>
    <row r="53" s="1" customFormat="1" spans="1:11">
      <c r="A53" s="22" t="s">
        <v>62</v>
      </c>
      <c r="B53" s="23" t="s">
        <v>15</v>
      </c>
      <c r="C53" s="23">
        <v>1000</v>
      </c>
      <c r="D53" s="24">
        <v>500</v>
      </c>
      <c r="E53" s="25">
        <v>4000</v>
      </c>
      <c r="F53" s="25">
        <v>5000</v>
      </c>
      <c r="G53" s="25">
        <v>10000</v>
      </c>
      <c r="H53" s="25">
        <v>5000</v>
      </c>
      <c r="I53" s="25">
        <f t="shared" si="0"/>
        <v>312.5</v>
      </c>
      <c r="J53" s="25">
        <f t="shared" si="1"/>
        <v>937.5</v>
      </c>
      <c r="K53" s="25">
        <v>1250</v>
      </c>
    </row>
    <row r="54" s="1" customFormat="1" spans="1:11">
      <c r="A54" s="22" t="s">
        <v>63</v>
      </c>
      <c r="B54" s="23"/>
      <c r="C54" s="23">
        <v>500</v>
      </c>
      <c r="D54" s="24">
        <v>500</v>
      </c>
      <c r="E54" s="25">
        <v>2000</v>
      </c>
      <c r="F54" s="25">
        <v>5000</v>
      </c>
      <c r="G54" s="25">
        <v>10000</v>
      </c>
      <c r="H54" s="25">
        <v>5000</v>
      </c>
      <c r="I54" s="25">
        <f t="shared" si="0"/>
        <v>312.5</v>
      </c>
      <c r="J54" s="25">
        <f t="shared" si="1"/>
        <v>937.5</v>
      </c>
      <c r="K54" s="25">
        <v>1250</v>
      </c>
    </row>
    <row r="55" s="1" customFormat="1" spans="1:11">
      <c r="A55" s="22" t="s">
        <v>64</v>
      </c>
      <c r="B55" s="23" t="s">
        <v>15</v>
      </c>
      <c r="C55" s="23">
        <v>5000</v>
      </c>
      <c r="D55" s="24">
        <v>3000</v>
      </c>
      <c r="E55" s="25">
        <v>20000</v>
      </c>
      <c r="F55" s="25">
        <v>5000</v>
      </c>
      <c r="G55" s="25">
        <v>10000</v>
      </c>
      <c r="H55" s="25">
        <v>5000</v>
      </c>
      <c r="I55" s="25">
        <f t="shared" si="0"/>
        <v>1875</v>
      </c>
      <c r="J55" s="25">
        <f t="shared" si="1"/>
        <v>5625</v>
      </c>
      <c r="K55" s="25">
        <v>7500</v>
      </c>
    </row>
    <row r="56" s="1" customFormat="1" spans="1:11">
      <c r="A56" s="22" t="s">
        <v>65</v>
      </c>
      <c r="B56" s="23" t="s">
        <v>15</v>
      </c>
      <c r="C56" s="23">
        <v>4000</v>
      </c>
      <c r="D56" s="24">
        <v>2000</v>
      </c>
      <c r="E56" s="25">
        <v>16000</v>
      </c>
      <c r="F56" s="25">
        <v>5000</v>
      </c>
      <c r="G56" s="25">
        <v>10000</v>
      </c>
      <c r="H56" s="25">
        <v>5000</v>
      </c>
      <c r="I56" s="25">
        <f t="shared" si="0"/>
        <v>1250</v>
      </c>
      <c r="J56" s="25">
        <f t="shared" si="1"/>
        <v>3750</v>
      </c>
      <c r="K56" s="25">
        <v>5000</v>
      </c>
    </row>
    <row r="57" s="1" customFormat="1" spans="1:11">
      <c r="A57" s="22" t="s">
        <v>66</v>
      </c>
      <c r="B57" s="23" t="s">
        <v>15</v>
      </c>
      <c r="C57" s="23">
        <v>3000</v>
      </c>
      <c r="D57" s="24">
        <v>1500</v>
      </c>
      <c r="E57" s="25">
        <v>12000</v>
      </c>
      <c r="F57" s="25">
        <v>5000</v>
      </c>
      <c r="G57" s="25">
        <v>10000</v>
      </c>
      <c r="H57" s="25">
        <v>5000</v>
      </c>
      <c r="I57" s="25">
        <f t="shared" si="0"/>
        <v>937.5</v>
      </c>
      <c r="J57" s="25">
        <f t="shared" si="1"/>
        <v>2812.5</v>
      </c>
      <c r="K57" s="25">
        <v>3750</v>
      </c>
    </row>
    <row r="58" s="1" customFormat="1" spans="1:11">
      <c r="A58" s="22" t="s">
        <v>67</v>
      </c>
      <c r="B58" s="23" t="s">
        <v>15</v>
      </c>
      <c r="C58" s="23">
        <v>2000</v>
      </c>
      <c r="D58" s="24">
        <v>1000</v>
      </c>
      <c r="E58" s="25">
        <v>8000</v>
      </c>
      <c r="F58" s="25">
        <v>5000</v>
      </c>
      <c r="G58" s="25">
        <v>10000</v>
      </c>
      <c r="H58" s="25">
        <v>5000</v>
      </c>
      <c r="I58" s="25">
        <f t="shared" si="0"/>
        <v>625</v>
      </c>
      <c r="J58" s="25">
        <f t="shared" si="1"/>
        <v>1875</v>
      </c>
      <c r="K58" s="25">
        <v>2500</v>
      </c>
    </row>
    <row r="59" s="1" customFormat="1" spans="1:11">
      <c r="A59" s="22" t="s">
        <v>68</v>
      </c>
      <c r="B59" s="23" t="s">
        <v>15</v>
      </c>
      <c r="C59" s="23">
        <v>1000</v>
      </c>
      <c r="D59" s="24">
        <v>500</v>
      </c>
      <c r="E59" s="25">
        <v>4000</v>
      </c>
      <c r="F59" s="25">
        <v>5000</v>
      </c>
      <c r="G59" s="25">
        <v>10000</v>
      </c>
      <c r="H59" s="25">
        <v>5000</v>
      </c>
      <c r="I59" s="25">
        <f t="shared" si="0"/>
        <v>312.5</v>
      </c>
      <c r="J59" s="25">
        <f t="shared" si="1"/>
        <v>937.5</v>
      </c>
      <c r="K59" s="25">
        <v>1250</v>
      </c>
    </row>
    <row r="60" s="1" customFormat="1" spans="1:11">
      <c r="A60" s="22" t="s">
        <v>69</v>
      </c>
      <c r="B60" s="23"/>
      <c r="C60" s="23"/>
      <c r="D60" s="24">
        <v>500</v>
      </c>
      <c r="E60" s="25">
        <v>0</v>
      </c>
      <c r="F60" s="25">
        <v>5000</v>
      </c>
      <c r="G60" s="25">
        <v>10000</v>
      </c>
      <c r="H60" s="25">
        <v>5000</v>
      </c>
      <c r="I60" s="25">
        <f t="shared" si="0"/>
        <v>312.5</v>
      </c>
      <c r="J60" s="25">
        <f t="shared" si="1"/>
        <v>937.5</v>
      </c>
      <c r="K60" s="25">
        <v>1250</v>
      </c>
    </row>
    <row r="61" s="1" customFormat="1" spans="1:11">
      <c r="A61" s="16" t="s">
        <v>70</v>
      </c>
      <c r="B61" s="16"/>
      <c r="C61" s="16"/>
      <c r="D61" s="16"/>
      <c r="E61" s="16"/>
      <c r="F61" s="16"/>
      <c r="G61" s="16"/>
      <c r="H61" s="16"/>
      <c r="I61" s="25">
        <f t="shared" si="0"/>
        <v>0</v>
      </c>
      <c r="J61" s="25">
        <f t="shared" si="1"/>
        <v>0</v>
      </c>
      <c r="K61" s="27"/>
    </row>
    <row r="62" s="1" customFormat="1" spans="1:11">
      <c r="A62" s="19" t="s">
        <v>71</v>
      </c>
      <c r="B62" s="28"/>
      <c r="C62" s="28"/>
      <c r="D62" s="28"/>
      <c r="E62" s="28"/>
      <c r="F62" s="28"/>
      <c r="G62" s="28"/>
      <c r="H62" s="28"/>
      <c r="I62" s="25">
        <f t="shared" si="0"/>
        <v>0</v>
      </c>
      <c r="J62" s="25">
        <f t="shared" si="1"/>
        <v>0</v>
      </c>
      <c r="K62" s="29"/>
    </row>
    <row r="63" s="1" customFormat="1" spans="1:11">
      <c r="A63" s="22" t="s">
        <v>72</v>
      </c>
      <c r="B63" s="23" t="s">
        <v>73</v>
      </c>
      <c r="C63" s="23"/>
      <c r="D63" s="30">
        <v>0</v>
      </c>
      <c r="E63" s="25">
        <v>0</v>
      </c>
      <c r="F63" s="25">
        <v>5000</v>
      </c>
      <c r="G63" s="25">
        <v>10000</v>
      </c>
      <c r="H63" s="25">
        <v>5000</v>
      </c>
      <c r="I63" s="25">
        <f t="shared" si="0"/>
        <v>0</v>
      </c>
      <c r="J63" s="25">
        <f t="shared" si="1"/>
        <v>0</v>
      </c>
      <c r="K63" s="25">
        <v>0</v>
      </c>
    </row>
    <row r="64" s="1" customFormat="1" spans="1:11">
      <c r="A64" s="22" t="s">
        <v>74</v>
      </c>
      <c r="B64" s="23" t="s">
        <v>73</v>
      </c>
      <c r="C64" s="23"/>
      <c r="D64" s="30">
        <v>0</v>
      </c>
      <c r="E64" s="25">
        <v>0</v>
      </c>
      <c r="F64" s="25">
        <v>5000</v>
      </c>
      <c r="G64" s="25">
        <v>10000</v>
      </c>
      <c r="H64" s="25">
        <v>5000</v>
      </c>
      <c r="I64" s="25">
        <f t="shared" si="0"/>
        <v>0</v>
      </c>
      <c r="J64" s="25">
        <f t="shared" si="1"/>
        <v>0</v>
      </c>
      <c r="K64" s="25">
        <v>0</v>
      </c>
    </row>
    <row r="65" s="1" customFormat="1" spans="1:11 16351:16383">
      <c r="A65" s="22" t="s">
        <v>75</v>
      </c>
      <c r="B65" s="23" t="s">
        <v>73</v>
      </c>
      <c r="C65" s="23"/>
      <c r="D65" s="30">
        <v>0</v>
      </c>
      <c r="E65" s="25">
        <v>0</v>
      </c>
      <c r="F65" s="25">
        <v>5000</v>
      </c>
      <c r="G65" s="25">
        <v>10000</v>
      </c>
      <c r="H65" s="25">
        <v>5000</v>
      </c>
      <c r="I65" s="25">
        <f t="shared" si="0"/>
        <v>0</v>
      </c>
      <c r="J65" s="25">
        <f t="shared" si="1"/>
        <v>0</v>
      </c>
      <c r="K65" s="25">
        <v>0</v>
      </c>
    </row>
    <row r="66" s="1" customFormat="1" spans="1:11 16351:16383">
      <c r="A66" s="22" t="s">
        <v>76</v>
      </c>
      <c r="B66" s="23" t="s">
        <v>73</v>
      </c>
      <c r="C66" s="23"/>
      <c r="D66" s="30">
        <v>0</v>
      </c>
      <c r="E66" s="25">
        <v>0</v>
      </c>
      <c r="F66" s="25">
        <v>5000</v>
      </c>
      <c r="G66" s="25">
        <v>10000</v>
      </c>
      <c r="H66" s="25">
        <v>5000</v>
      </c>
      <c r="I66" s="25">
        <f t="shared" si="0"/>
        <v>0</v>
      </c>
      <c r="J66" s="25">
        <f t="shared" si="1"/>
        <v>0</v>
      </c>
      <c r="K66" s="25">
        <v>0</v>
      </c>
    </row>
    <row r="67" s="1" customFormat="1" ht="27.6" spans="1:11 16351:16383">
      <c r="A67" s="22" t="s">
        <v>77</v>
      </c>
      <c r="B67" s="23" t="s">
        <v>78</v>
      </c>
      <c r="C67" s="23">
        <v>1000</v>
      </c>
      <c r="D67" s="30">
        <v>0</v>
      </c>
      <c r="E67" s="25">
        <v>4000</v>
      </c>
      <c r="F67" s="25">
        <v>5000</v>
      </c>
      <c r="G67" s="25">
        <v>10000</v>
      </c>
      <c r="H67" s="25">
        <v>5000</v>
      </c>
      <c r="I67" s="25">
        <f t="shared" si="0"/>
        <v>0</v>
      </c>
      <c r="J67" s="25">
        <f t="shared" si="1"/>
        <v>0</v>
      </c>
      <c r="K67" s="25">
        <v>0</v>
      </c>
    </row>
    <row r="68" s="1" customFormat="1" ht="27.6" spans="1:11 16351:16383">
      <c r="A68" s="22" t="s">
        <v>79</v>
      </c>
      <c r="B68" s="23"/>
      <c r="C68" s="23">
        <v>1000</v>
      </c>
      <c r="D68" s="30">
        <v>0</v>
      </c>
      <c r="E68" s="25">
        <v>4000</v>
      </c>
      <c r="F68" s="25">
        <v>5000</v>
      </c>
      <c r="G68" s="25">
        <v>10000</v>
      </c>
      <c r="H68" s="25">
        <v>5000</v>
      </c>
      <c r="I68" s="25">
        <f t="shared" si="0"/>
        <v>0</v>
      </c>
      <c r="J68" s="25">
        <f t="shared" si="1"/>
        <v>0</v>
      </c>
      <c r="K68" s="25">
        <v>0</v>
      </c>
    </row>
    <row r="69" s="1" customFormat="1" ht="27.6" spans="1:11 16351:16383">
      <c r="A69" s="22" t="s">
        <v>80</v>
      </c>
      <c r="B69" s="23"/>
      <c r="C69" s="23"/>
      <c r="D69" s="30">
        <v>0</v>
      </c>
      <c r="E69" s="25">
        <v>0</v>
      </c>
      <c r="F69" s="25">
        <v>5000</v>
      </c>
      <c r="G69" s="25">
        <v>10000</v>
      </c>
      <c r="H69" s="25">
        <v>5000</v>
      </c>
      <c r="I69" s="25">
        <f t="shared" si="0"/>
        <v>0</v>
      </c>
      <c r="J69" s="25">
        <f t="shared" si="1"/>
        <v>0</v>
      </c>
      <c r="K69" s="25">
        <v>0</v>
      </c>
    </row>
    <row r="70" s="1" customFormat="1" spans="1:11 16351:16383">
      <c r="A70" s="31" t="s">
        <v>81</v>
      </c>
      <c r="B70" s="31"/>
      <c r="C70" s="31"/>
      <c r="D70" s="31"/>
      <c r="E70" s="31"/>
      <c r="F70" s="31"/>
      <c r="G70" s="31"/>
      <c r="H70" s="31"/>
      <c r="I70" s="25">
        <f t="shared" si="0"/>
        <v>0</v>
      </c>
      <c r="J70" s="25">
        <f t="shared" si="1"/>
        <v>0</v>
      </c>
      <c r="K70" s="32"/>
      <c r="XDW70" s="4"/>
      <c r="XDX70" s="4"/>
      <c r="XDY70" s="4"/>
      <c r="XDZ70" s="4"/>
      <c r="XEA70" s="4"/>
      <c r="XEB70" s="4"/>
      <c r="XEC70" s="4"/>
      <c r="XED70" s="4"/>
      <c r="XEE70" s="4"/>
      <c r="XEF70" s="4"/>
      <c r="XEG70" s="4"/>
      <c r="XEH70" s="4"/>
      <c r="XEI70" s="4"/>
      <c r="XEJ70" s="4"/>
      <c r="XEK70" s="4"/>
      <c r="XEL70" s="4"/>
      <c r="XEM70" s="4"/>
      <c r="XEN70" s="4"/>
      <c r="XEO70" s="4"/>
      <c r="XEP70" s="4"/>
      <c r="XEQ70" s="4"/>
      <c r="XER70" s="4"/>
      <c r="XES70" s="4"/>
      <c r="XET70" s="4"/>
      <c r="XEU70" s="4"/>
      <c r="XEV70" s="4"/>
      <c r="XEW70" s="4"/>
      <c r="XEX70" s="4"/>
      <c r="XEY70" s="4"/>
      <c r="XEZ70" s="4"/>
      <c r="XFA70" s="4"/>
      <c r="XFB70" s="4"/>
      <c r="XFC70" s="4"/>
    </row>
    <row r="71" s="1" customFormat="1" spans="1:11 16351:16383">
      <c r="A71" s="19" t="s">
        <v>82</v>
      </c>
      <c r="B71" s="19"/>
      <c r="C71" s="19"/>
      <c r="D71" s="19"/>
      <c r="E71" s="19"/>
      <c r="F71" s="19"/>
      <c r="G71" s="19"/>
      <c r="H71" s="19"/>
      <c r="I71" s="25">
        <f t="shared" si="0"/>
        <v>0</v>
      </c>
      <c r="J71" s="25">
        <f t="shared" si="1"/>
        <v>0</v>
      </c>
      <c r="K71" s="33"/>
      <c r="XDW71" s="4"/>
      <c r="XDX71" s="4"/>
      <c r="XDY71" s="4"/>
      <c r="XDZ71" s="4"/>
      <c r="XEA71" s="4"/>
      <c r="XEB71" s="4"/>
      <c r="XEC71" s="4"/>
      <c r="XED71" s="4"/>
      <c r="XEE71" s="4"/>
      <c r="XEF71" s="4"/>
      <c r="XEG71" s="4"/>
      <c r="XEH71" s="4"/>
      <c r="XEI71" s="4"/>
      <c r="XEJ71" s="4"/>
      <c r="XEK71" s="4"/>
      <c r="XEL71" s="4"/>
      <c r="XEM71" s="4"/>
      <c r="XEN71" s="4"/>
      <c r="XEO71" s="4"/>
      <c r="XEP71" s="4"/>
      <c r="XEQ71" s="4"/>
      <c r="XER71" s="4"/>
      <c r="XES71" s="4"/>
      <c r="XET71" s="4"/>
      <c r="XEU71" s="4"/>
      <c r="XEV71" s="4"/>
      <c r="XEW71" s="4"/>
      <c r="XEX71" s="4"/>
      <c r="XEY71" s="4"/>
      <c r="XEZ71" s="4"/>
      <c r="XFA71" s="4"/>
      <c r="XFB71" s="4"/>
      <c r="XFC71" s="4"/>
    </row>
    <row r="72" s="1" customFormat="1" spans="1:11 16351:16383">
      <c r="A72" s="22" t="s">
        <v>83</v>
      </c>
      <c r="B72" s="23" t="s">
        <v>84</v>
      </c>
      <c r="C72" s="23">
        <v>3000</v>
      </c>
      <c r="D72" s="30">
        <v>3000</v>
      </c>
      <c r="E72" s="25">
        <v>12000</v>
      </c>
      <c r="F72" s="25">
        <v>5000</v>
      </c>
      <c r="G72" s="25">
        <v>10000</v>
      </c>
      <c r="H72" s="25">
        <v>5000</v>
      </c>
      <c r="I72" s="25">
        <f t="shared" ref="I72:I135" si="2">K72*0.25</f>
        <v>1875</v>
      </c>
      <c r="J72" s="25">
        <f t="shared" ref="J72:J135" si="3">K72*0.75</f>
        <v>5625</v>
      </c>
      <c r="K72" s="25">
        <v>7500</v>
      </c>
    </row>
    <row r="73" s="1" customFormat="1" spans="1:11 16351:16383">
      <c r="A73" s="22" t="s">
        <v>85</v>
      </c>
      <c r="B73" s="23" t="s">
        <v>84</v>
      </c>
      <c r="C73" s="23">
        <v>2000</v>
      </c>
      <c r="D73" s="30">
        <v>2000</v>
      </c>
      <c r="E73" s="25">
        <v>8000</v>
      </c>
      <c r="F73" s="25">
        <v>5000</v>
      </c>
      <c r="G73" s="25">
        <v>10000</v>
      </c>
      <c r="H73" s="25">
        <v>5000</v>
      </c>
      <c r="I73" s="25">
        <f t="shared" si="2"/>
        <v>1250</v>
      </c>
      <c r="J73" s="25">
        <f t="shared" si="3"/>
        <v>3750</v>
      </c>
      <c r="K73" s="25">
        <v>5000</v>
      </c>
    </row>
    <row r="74" s="1" customFormat="1" spans="1:11 16351:16383">
      <c r="A74" s="22" t="s">
        <v>86</v>
      </c>
      <c r="B74" s="23" t="s">
        <v>84</v>
      </c>
      <c r="C74" s="23">
        <v>1000</v>
      </c>
      <c r="D74" s="30">
        <v>1500</v>
      </c>
      <c r="E74" s="25">
        <v>4000</v>
      </c>
      <c r="F74" s="25">
        <v>5000</v>
      </c>
      <c r="G74" s="25">
        <v>10000</v>
      </c>
      <c r="H74" s="25">
        <v>5000</v>
      </c>
      <c r="I74" s="25">
        <f t="shared" si="2"/>
        <v>937.5</v>
      </c>
      <c r="J74" s="25">
        <f t="shared" si="3"/>
        <v>2812.5</v>
      </c>
      <c r="K74" s="25">
        <v>3750</v>
      </c>
    </row>
    <row r="75" s="1" customFormat="1" spans="1:11 16351:16383">
      <c r="A75" s="22" t="s">
        <v>87</v>
      </c>
      <c r="B75" s="23" t="s">
        <v>88</v>
      </c>
      <c r="C75" s="23">
        <v>4000</v>
      </c>
      <c r="D75" s="30">
        <v>3000</v>
      </c>
      <c r="E75" s="25">
        <v>16000</v>
      </c>
      <c r="F75" s="25">
        <v>5000</v>
      </c>
      <c r="G75" s="25">
        <v>10000</v>
      </c>
      <c r="H75" s="25">
        <v>5000</v>
      </c>
      <c r="I75" s="25">
        <f t="shared" si="2"/>
        <v>1875</v>
      </c>
      <c r="J75" s="25">
        <f t="shared" si="3"/>
        <v>5625</v>
      </c>
      <c r="K75" s="25">
        <v>7500</v>
      </c>
    </row>
    <row r="76" s="1" customFormat="1" spans="1:11 16351:16383">
      <c r="A76" s="22" t="s">
        <v>89</v>
      </c>
      <c r="B76" s="23" t="s">
        <v>88</v>
      </c>
      <c r="C76" s="23">
        <v>3000</v>
      </c>
      <c r="D76" s="30">
        <v>2000</v>
      </c>
      <c r="E76" s="25">
        <v>12000</v>
      </c>
      <c r="F76" s="25">
        <v>5000</v>
      </c>
      <c r="G76" s="25">
        <v>10000</v>
      </c>
      <c r="H76" s="25">
        <v>5000</v>
      </c>
      <c r="I76" s="25">
        <f t="shared" si="2"/>
        <v>1250</v>
      </c>
      <c r="J76" s="25">
        <f t="shared" si="3"/>
        <v>3750</v>
      </c>
      <c r="K76" s="25">
        <v>5000</v>
      </c>
    </row>
    <row r="77" s="1" customFormat="1" spans="1:11 16351:16383">
      <c r="A77" s="22" t="s">
        <v>90</v>
      </c>
      <c r="B77" s="23" t="s">
        <v>88</v>
      </c>
      <c r="C77" s="23">
        <v>2000</v>
      </c>
      <c r="D77" s="30">
        <v>1500</v>
      </c>
      <c r="E77" s="25">
        <v>8000</v>
      </c>
      <c r="F77" s="25">
        <v>5000</v>
      </c>
      <c r="G77" s="25">
        <v>10000</v>
      </c>
      <c r="H77" s="25">
        <v>5000</v>
      </c>
      <c r="I77" s="25">
        <f t="shared" si="2"/>
        <v>937.5</v>
      </c>
      <c r="J77" s="25">
        <f t="shared" si="3"/>
        <v>2812.5</v>
      </c>
      <c r="K77" s="25">
        <v>3750</v>
      </c>
    </row>
    <row r="78" s="1" customFormat="1" spans="1:11 16351:16383">
      <c r="A78" s="22" t="s">
        <v>91</v>
      </c>
      <c r="B78" s="23" t="s">
        <v>88</v>
      </c>
      <c r="C78" s="23">
        <v>1000</v>
      </c>
      <c r="D78" s="30">
        <v>1000</v>
      </c>
      <c r="E78" s="25">
        <v>4000</v>
      </c>
      <c r="F78" s="25">
        <v>5000</v>
      </c>
      <c r="G78" s="25">
        <v>10000</v>
      </c>
      <c r="H78" s="25">
        <v>5000</v>
      </c>
      <c r="I78" s="25">
        <f t="shared" si="2"/>
        <v>625</v>
      </c>
      <c r="J78" s="25">
        <f t="shared" si="3"/>
        <v>1875</v>
      </c>
      <c r="K78" s="25">
        <v>2500</v>
      </c>
    </row>
    <row r="79" s="1" customFormat="1" spans="1:11 16351:16383">
      <c r="A79" s="22" t="s">
        <v>92</v>
      </c>
      <c r="B79" s="23" t="s">
        <v>88</v>
      </c>
      <c r="C79" s="23">
        <v>500</v>
      </c>
      <c r="D79" s="30">
        <v>500</v>
      </c>
      <c r="E79" s="25">
        <v>2000</v>
      </c>
      <c r="F79" s="25">
        <v>5000</v>
      </c>
      <c r="G79" s="25">
        <v>10000</v>
      </c>
      <c r="H79" s="25">
        <v>5000</v>
      </c>
      <c r="I79" s="25">
        <f t="shared" si="2"/>
        <v>312.5</v>
      </c>
      <c r="J79" s="25">
        <f t="shared" si="3"/>
        <v>937.5</v>
      </c>
      <c r="K79" s="25">
        <v>1250</v>
      </c>
    </row>
    <row r="80" s="1" customFormat="1" spans="1:11 16351:16383">
      <c r="A80" s="22" t="s">
        <v>93</v>
      </c>
      <c r="B80" s="23" t="s">
        <v>88</v>
      </c>
      <c r="C80" s="23"/>
      <c r="D80" s="30">
        <v>0</v>
      </c>
      <c r="E80" s="25">
        <v>0</v>
      </c>
      <c r="F80" s="25">
        <v>5000</v>
      </c>
      <c r="G80" s="25">
        <v>10000</v>
      </c>
      <c r="H80" s="25">
        <v>5000</v>
      </c>
      <c r="I80" s="25">
        <f t="shared" si="2"/>
        <v>0</v>
      </c>
      <c r="J80" s="25">
        <f t="shared" si="3"/>
        <v>0</v>
      </c>
      <c r="K80" s="25">
        <v>0</v>
      </c>
    </row>
    <row r="81" s="1" customFormat="1" spans="1:11">
      <c r="A81" s="22" t="s">
        <v>94</v>
      </c>
      <c r="B81" s="23" t="s">
        <v>95</v>
      </c>
      <c r="C81" s="23"/>
      <c r="D81" s="30">
        <v>0</v>
      </c>
      <c r="E81" s="25">
        <v>0</v>
      </c>
      <c r="F81" s="25">
        <v>5000</v>
      </c>
      <c r="G81" s="25">
        <v>10000</v>
      </c>
      <c r="H81" s="25">
        <v>5000</v>
      </c>
      <c r="I81" s="25">
        <f t="shared" si="2"/>
        <v>0</v>
      </c>
      <c r="J81" s="25">
        <f t="shared" si="3"/>
        <v>0</v>
      </c>
      <c r="K81" s="25">
        <v>0</v>
      </c>
    </row>
    <row r="82" s="1" customFormat="1" spans="1:11">
      <c r="A82" s="22" t="s">
        <v>96</v>
      </c>
      <c r="B82" s="23" t="s">
        <v>95</v>
      </c>
      <c r="C82" s="23"/>
      <c r="D82" s="30">
        <v>0</v>
      </c>
      <c r="E82" s="25">
        <v>0</v>
      </c>
      <c r="F82" s="25">
        <v>5000</v>
      </c>
      <c r="G82" s="25">
        <v>10000</v>
      </c>
      <c r="H82" s="25">
        <v>5000</v>
      </c>
      <c r="I82" s="25">
        <f t="shared" si="2"/>
        <v>0</v>
      </c>
      <c r="J82" s="25">
        <f t="shared" si="3"/>
        <v>0</v>
      </c>
      <c r="K82" s="25">
        <v>0</v>
      </c>
    </row>
    <row r="83" s="1" customFormat="1" spans="1:11">
      <c r="A83" s="22" t="s">
        <v>97</v>
      </c>
      <c r="B83" s="23" t="s">
        <v>95</v>
      </c>
      <c r="C83" s="23"/>
      <c r="D83" s="30">
        <v>0</v>
      </c>
      <c r="E83" s="25">
        <v>0</v>
      </c>
      <c r="F83" s="25">
        <v>5000</v>
      </c>
      <c r="G83" s="25">
        <v>10000</v>
      </c>
      <c r="H83" s="25">
        <v>5000</v>
      </c>
      <c r="I83" s="25">
        <f t="shared" si="2"/>
        <v>0</v>
      </c>
      <c r="J83" s="25">
        <f t="shared" si="3"/>
        <v>0</v>
      </c>
      <c r="K83" s="25">
        <v>0</v>
      </c>
    </row>
    <row r="84" s="1" customFormat="1" spans="1:11">
      <c r="A84" s="22" t="s">
        <v>98</v>
      </c>
      <c r="B84" s="23" t="s">
        <v>95</v>
      </c>
      <c r="C84" s="23"/>
      <c r="D84" s="30">
        <v>0</v>
      </c>
      <c r="E84" s="25">
        <v>0</v>
      </c>
      <c r="F84" s="25">
        <v>5000</v>
      </c>
      <c r="G84" s="25">
        <v>10000</v>
      </c>
      <c r="H84" s="25">
        <v>5000</v>
      </c>
      <c r="I84" s="25">
        <f t="shared" si="2"/>
        <v>0</v>
      </c>
      <c r="J84" s="25">
        <f t="shared" si="3"/>
        <v>0</v>
      </c>
      <c r="K84" s="25">
        <v>0</v>
      </c>
    </row>
    <row r="85" s="1" customFormat="1" ht="27.6" spans="1:11">
      <c r="A85" s="22" t="s">
        <v>99</v>
      </c>
      <c r="B85" s="23" t="s">
        <v>100</v>
      </c>
      <c r="C85" s="23">
        <v>3000</v>
      </c>
      <c r="D85" s="30">
        <v>3000</v>
      </c>
      <c r="E85" s="25">
        <v>12000</v>
      </c>
      <c r="F85" s="25">
        <v>5000</v>
      </c>
      <c r="G85" s="25">
        <v>10000</v>
      </c>
      <c r="H85" s="25">
        <v>5000</v>
      </c>
      <c r="I85" s="25">
        <f t="shared" si="2"/>
        <v>1875</v>
      </c>
      <c r="J85" s="25">
        <f t="shared" si="3"/>
        <v>5625</v>
      </c>
      <c r="K85" s="25">
        <v>7500</v>
      </c>
    </row>
    <row r="86" s="1" customFormat="1" ht="27.6" spans="1:11">
      <c r="A86" s="22" t="s">
        <v>101</v>
      </c>
      <c r="B86" s="23" t="s">
        <v>100</v>
      </c>
      <c r="C86" s="23">
        <v>2000</v>
      </c>
      <c r="D86" s="30">
        <v>2000</v>
      </c>
      <c r="E86" s="25">
        <v>8000</v>
      </c>
      <c r="F86" s="25">
        <v>5000</v>
      </c>
      <c r="G86" s="25">
        <v>10000</v>
      </c>
      <c r="H86" s="25">
        <v>5000</v>
      </c>
      <c r="I86" s="25">
        <f t="shared" si="2"/>
        <v>1250</v>
      </c>
      <c r="J86" s="25">
        <f t="shared" si="3"/>
        <v>3750</v>
      </c>
      <c r="K86" s="25">
        <v>5000</v>
      </c>
    </row>
    <row r="87" s="1" customFormat="1" ht="27.6" spans="1:11">
      <c r="A87" s="22" t="s">
        <v>102</v>
      </c>
      <c r="B87" s="23" t="s">
        <v>100</v>
      </c>
      <c r="C87" s="23">
        <v>1000</v>
      </c>
      <c r="D87" s="30">
        <v>1500</v>
      </c>
      <c r="E87" s="25">
        <v>4000</v>
      </c>
      <c r="F87" s="25">
        <v>5000</v>
      </c>
      <c r="G87" s="25">
        <v>10000</v>
      </c>
      <c r="H87" s="25">
        <v>5000</v>
      </c>
      <c r="I87" s="25">
        <f t="shared" si="2"/>
        <v>937.5</v>
      </c>
      <c r="J87" s="25">
        <f t="shared" si="3"/>
        <v>2812.5</v>
      </c>
      <c r="K87" s="25">
        <v>3750</v>
      </c>
    </row>
    <row r="88" s="1" customFormat="1" ht="27.6" spans="1:11">
      <c r="A88" s="22" t="s">
        <v>103</v>
      </c>
      <c r="B88" s="23" t="s">
        <v>100</v>
      </c>
      <c r="C88" s="23">
        <v>500</v>
      </c>
      <c r="D88" s="30">
        <v>1000</v>
      </c>
      <c r="E88" s="25">
        <v>2000</v>
      </c>
      <c r="F88" s="25">
        <v>5000</v>
      </c>
      <c r="G88" s="25">
        <v>10000</v>
      </c>
      <c r="H88" s="25">
        <v>5000</v>
      </c>
      <c r="I88" s="25">
        <f t="shared" si="2"/>
        <v>625</v>
      </c>
      <c r="J88" s="25">
        <f t="shared" si="3"/>
        <v>1875</v>
      </c>
      <c r="K88" s="25">
        <v>2500</v>
      </c>
    </row>
    <row r="89" s="1" customFormat="1" spans="1:11">
      <c r="A89" s="22" t="s">
        <v>104</v>
      </c>
      <c r="B89" s="23" t="s">
        <v>105</v>
      </c>
      <c r="C89" s="23"/>
      <c r="D89" s="30">
        <v>500</v>
      </c>
      <c r="E89" s="25">
        <v>0</v>
      </c>
      <c r="F89" s="25">
        <v>5000</v>
      </c>
      <c r="G89" s="25">
        <v>10000</v>
      </c>
      <c r="H89" s="25">
        <v>5000</v>
      </c>
      <c r="I89" s="25">
        <f t="shared" si="2"/>
        <v>312.5</v>
      </c>
      <c r="J89" s="25">
        <f t="shared" si="3"/>
        <v>937.5</v>
      </c>
      <c r="K89" s="25">
        <v>1250</v>
      </c>
    </row>
    <row r="90" s="1" customFormat="1" spans="1:11">
      <c r="A90" s="22" t="s">
        <v>106</v>
      </c>
      <c r="B90" s="23" t="s">
        <v>107</v>
      </c>
      <c r="C90" s="23">
        <v>3000</v>
      </c>
      <c r="D90" s="30">
        <v>3000</v>
      </c>
      <c r="E90" s="25">
        <v>12000</v>
      </c>
      <c r="F90" s="25">
        <v>5000</v>
      </c>
      <c r="G90" s="25">
        <v>10000</v>
      </c>
      <c r="H90" s="25">
        <v>5000</v>
      </c>
      <c r="I90" s="25">
        <f t="shared" si="2"/>
        <v>1875</v>
      </c>
      <c r="J90" s="25">
        <f t="shared" si="3"/>
        <v>5625</v>
      </c>
      <c r="K90" s="25">
        <v>7500</v>
      </c>
    </row>
    <row r="91" s="1" customFormat="1" spans="1:11">
      <c r="A91" s="22" t="s">
        <v>108</v>
      </c>
      <c r="B91" s="23" t="s">
        <v>107</v>
      </c>
      <c r="C91" s="23">
        <v>2000</v>
      </c>
      <c r="D91" s="30">
        <v>2000</v>
      </c>
      <c r="E91" s="25">
        <v>8000</v>
      </c>
      <c r="F91" s="25">
        <v>5000</v>
      </c>
      <c r="G91" s="25">
        <v>10000</v>
      </c>
      <c r="H91" s="25">
        <v>5000</v>
      </c>
      <c r="I91" s="25">
        <f t="shared" si="2"/>
        <v>1250</v>
      </c>
      <c r="J91" s="25">
        <f t="shared" si="3"/>
        <v>3750</v>
      </c>
      <c r="K91" s="25">
        <v>5000</v>
      </c>
    </row>
    <row r="92" s="1" customFormat="1" spans="1:11">
      <c r="A92" s="22" t="s">
        <v>109</v>
      </c>
      <c r="B92" s="23" t="s">
        <v>107</v>
      </c>
      <c r="C92" s="23">
        <v>1000</v>
      </c>
      <c r="D92" s="30">
        <v>1000</v>
      </c>
      <c r="E92" s="25">
        <v>4000</v>
      </c>
      <c r="F92" s="25">
        <v>5000</v>
      </c>
      <c r="G92" s="25">
        <v>10000</v>
      </c>
      <c r="H92" s="25">
        <v>5000</v>
      </c>
      <c r="I92" s="25">
        <f t="shared" si="2"/>
        <v>625</v>
      </c>
      <c r="J92" s="25">
        <f t="shared" si="3"/>
        <v>1875</v>
      </c>
      <c r="K92" s="25">
        <v>2500</v>
      </c>
    </row>
    <row r="93" s="1" customFormat="1" spans="1:11">
      <c r="A93" s="22" t="s">
        <v>110</v>
      </c>
      <c r="B93" s="23" t="s">
        <v>107</v>
      </c>
      <c r="C93" s="23">
        <v>3000</v>
      </c>
      <c r="D93" s="30">
        <v>3000</v>
      </c>
      <c r="E93" s="25">
        <v>12000</v>
      </c>
      <c r="F93" s="25">
        <v>5000</v>
      </c>
      <c r="G93" s="25">
        <v>10000</v>
      </c>
      <c r="H93" s="25">
        <v>5000</v>
      </c>
      <c r="I93" s="25">
        <f t="shared" si="2"/>
        <v>1875</v>
      </c>
      <c r="J93" s="25">
        <f t="shared" si="3"/>
        <v>5625</v>
      </c>
      <c r="K93" s="25">
        <v>7500</v>
      </c>
    </row>
    <row r="94" s="1" customFormat="1" spans="1:11">
      <c r="A94" s="22" t="s">
        <v>111</v>
      </c>
      <c r="B94" s="23" t="s">
        <v>107</v>
      </c>
      <c r="C94" s="23">
        <v>2000</v>
      </c>
      <c r="D94" s="30">
        <v>2000</v>
      </c>
      <c r="E94" s="25">
        <v>8000</v>
      </c>
      <c r="F94" s="25">
        <v>5000</v>
      </c>
      <c r="G94" s="25">
        <v>10000</v>
      </c>
      <c r="H94" s="25">
        <v>5000</v>
      </c>
      <c r="I94" s="25">
        <f t="shared" si="2"/>
        <v>1250</v>
      </c>
      <c r="J94" s="25">
        <f t="shared" si="3"/>
        <v>3750</v>
      </c>
      <c r="K94" s="25">
        <v>5000</v>
      </c>
    </row>
    <row r="95" s="1" customFormat="1" spans="1:11">
      <c r="A95" s="22" t="s">
        <v>112</v>
      </c>
      <c r="B95" s="23" t="s">
        <v>107</v>
      </c>
      <c r="C95" s="23">
        <v>1000</v>
      </c>
      <c r="D95" s="30">
        <v>1000</v>
      </c>
      <c r="E95" s="25">
        <v>4000</v>
      </c>
      <c r="F95" s="25">
        <v>5000</v>
      </c>
      <c r="G95" s="25">
        <v>10000</v>
      </c>
      <c r="H95" s="25">
        <v>5000</v>
      </c>
      <c r="I95" s="25">
        <f t="shared" si="2"/>
        <v>625</v>
      </c>
      <c r="J95" s="25">
        <f t="shared" si="3"/>
        <v>1875</v>
      </c>
      <c r="K95" s="25">
        <v>2500</v>
      </c>
    </row>
    <row r="96" s="1" customFormat="1" spans="1:11">
      <c r="A96" s="22" t="s">
        <v>113</v>
      </c>
      <c r="B96" s="23" t="s">
        <v>107</v>
      </c>
      <c r="C96" s="23">
        <v>3000</v>
      </c>
      <c r="D96" s="30">
        <v>3000</v>
      </c>
      <c r="E96" s="25">
        <v>12000</v>
      </c>
      <c r="F96" s="25">
        <v>5000</v>
      </c>
      <c r="G96" s="25">
        <v>10000</v>
      </c>
      <c r="H96" s="25">
        <v>5000</v>
      </c>
      <c r="I96" s="25">
        <f t="shared" si="2"/>
        <v>1875</v>
      </c>
      <c r="J96" s="25">
        <f t="shared" si="3"/>
        <v>5625</v>
      </c>
      <c r="K96" s="25">
        <v>7500</v>
      </c>
    </row>
    <row r="97" s="1" customFormat="1" spans="1:11">
      <c r="A97" s="22" t="s">
        <v>114</v>
      </c>
      <c r="B97" s="23" t="s">
        <v>107</v>
      </c>
      <c r="C97" s="23">
        <v>2000</v>
      </c>
      <c r="D97" s="30">
        <v>2000</v>
      </c>
      <c r="E97" s="25">
        <v>8000</v>
      </c>
      <c r="F97" s="25">
        <v>5000</v>
      </c>
      <c r="G97" s="25">
        <v>10000</v>
      </c>
      <c r="H97" s="25">
        <v>5000</v>
      </c>
      <c r="I97" s="25">
        <f t="shared" si="2"/>
        <v>1250</v>
      </c>
      <c r="J97" s="25">
        <f t="shared" si="3"/>
        <v>3750</v>
      </c>
      <c r="K97" s="25">
        <v>5000</v>
      </c>
    </row>
    <row r="98" s="1" customFormat="1" spans="1:11">
      <c r="A98" s="22" t="s">
        <v>115</v>
      </c>
      <c r="B98" s="23" t="s">
        <v>107</v>
      </c>
      <c r="C98" s="23">
        <v>1000</v>
      </c>
      <c r="D98" s="30">
        <v>1000</v>
      </c>
      <c r="E98" s="25">
        <v>4000</v>
      </c>
      <c r="F98" s="25">
        <v>5000</v>
      </c>
      <c r="G98" s="25">
        <v>10000</v>
      </c>
      <c r="H98" s="25">
        <v>5000</v>
      </c>
      <c r="I98" s="25">
        <f t="shared" si="2"/>
        <v>625</v>
      </c>
      <c r="J98" s="25">
        <f t="shared" si="3"/>
        <v>1875</v>
      </c>
      <c r="K98" s="25">
        <v>2500</v>
      </c>
    </row>
    <row r="99" s="1" customFormat="1" spans="1:11">
      <c r="A99" s="22" t="s">
        <v>116</v>
      </c>
      <c r="B99" s="23" t="s">
        <v>107</v>
      </c>
      <c r="C99" s="23">
        <v>3000</v>
      </c>
      <c r="D99" s="30">
        <v>3000</v>
      </c>
      <c r="E99" s="25">
        <v>12000</v>
      </c>
      <c r="F99" s="25">
        <v>5000</v>
      </c>
      <c r="G99" s="25">
        <v>10000</v>
      </c>
      <c r="H99" s="25">
        <v>5000</v>
      </c>
      <c r="I99" s="25">
        <f t="shared" si="2"/>
        <v>1875</v>
      </c>
      <c r="J99" s="25">
        <f t="shared" si="3"/>
        <v>5625</v>
      </c>
      <c r="K99" s="25">
        <v>7500</v>
      </c>
    </row>
    <row r="100" s="1" customFormat="1" spans="1:11">
      <c r="A100" s="22" t="s">
        <v>117</v>
      </c>
      <c r="B100" s="23" t="s">
        <v>107</v>
      </c>
      <c r="C100" s="23">
        <v>2000</v>
      </c>
      <c r="D100" s="30">
        <v>2000</v>
      </c>
      <c r="E100" s="25">
        <v>8000</v>
      </c>
      <c r="F100" s="25">
        <v>5000</v>
      </c>
      <c r="G100" s="25">
        <v>10000</v>
      </c>
      <c r="H100" s="25">
        <v>5000</v>
      </c>
      <c r="I100" s="25">
        <f t="shared" si="2"/>
        <v>1250</v>
      </c>
      <c r="J100" s="25">
        <f t="shared" si="3"/>
        <v>3750</v>
      </c>
      <c r="K100" s="25">
        <v>5000</v>
      </c>
    </row>
    <row r="101" s="1" customFormat="1" spans="1:11">
      <c r="A101" s="22" t="s">
        <v>118</v>
      </c>
      <c r="B101" s="23" t="s">
        <v>107</v>
      </c>
      <c r="C101" s="23">
        <v>1000</v>
      </c>
      <c r="D101" s="30">
        <v>1000</v>
      </c>
      <c r="E101" s="25">
        <v>4000</v>
      </c>
      <c r="F101" s="25">
        <v>5000</v>
      </c>
      <c r="G101" s="25">
        <v>10000</v>
      </c>
      <c r="H101" s="25">
        <v>5000</v>
      </c>
      <c r="I101" s="25">
        <f t="shared" si="2"/>
        <v>625</v>
      </c>
      <c r="J101" s="25">
        <f t="shared" si="3"/>
        <v>1875</v>
      </c>
      <c r="K101" s="25">
        <v>2500</v>
      </c>
    </row>
    <row r="102" s="1" customFormat="1" spans="1:11">
      <c r="A102" s="22" t="s">
        <v>119</v>
      </c>
      <c r="B102" s="23" t="s">
        <v>100</v>
      </c>
      <c r="C102" s="23">
        <v>3000</v>
      </c>
      <c r="D102" s="30">
        <v>3000</v>
      </c>
      <c r="E102" s="25">
        <v>12000</v>
      </c>
      <c r="F102" s="25">
        <v>5000</v>
      </c>
      <c r="G102" s="25">
        <v>10000</v>
      </c>
      <c r="H102" s="25">
        <v>5000</v>
      </c>
      <c r="I102" s="25">
        <f t="shared" si="2"/>
        <v>1875</v>
      </c>
      <c r="J102" s="25">
        <f t="shared" si="3"/>
        <v>5625</v>
      </c>
      <c r="K102" s="25">
        <v>7500</v>
      </c>
    </row>
    <row r="103" s="1" customFormat="1" spans="1:11">
      <c r="A103" s="22" t="s">
        <v>120</v>
      </c>
      <c r="B103" s="23" t="s">
        <v>100</v>
      </c>
      <c r="C103" s="23">
        <v>2000</v>
      </c>
      <c r="D103" s="30">
        <v>2000</v>
      </c>
      <c r="E103" s="25">
        <v>8000</v>
      </c>
      <c r="F103" s="25">
        <v>5000</v>
      </c>
      <c r="G103" s="25">
        <v>10000</v>
      </c>
      <c r="H103" s="25">
        <v>5000</v>
      </c>
      <c r="I103" s="25">
        <f t="shared" si="2"/>
        <v>1250</v>
      </c>
      <c r="J103" s="25">
        <f t="shared" si="3"/>
        <v>3750</v>
      </c>
      <c r="K103" s="25">
        <v>5000</v>
      </c>
    </row>
    <row r="104" s="1" customFormat="1" spans="1:11">
      <c r="A104" s="22" t="s">
        <v>121</v>
      </c>
      <c r="B104" s="23" t="s">
        <v>100</v>
      </c>
      <c r="C104" s="23">
        <v>1000</v>
      </c>
      <c r="D104" s="30">
        <v>1000</v>
      </c>
      <c r="E104" s="25">
        <v>4000</v>
      </c>
      <c r="F104" s="25">
        <v>5000</v>
      </c>
      <c r="G104" s="25">
        <v>10000</v>
      </c>
      <c r="H104" s="25">
        <v>5000</v>
      </c>
      <c r="I104" s="25">
        <f t="shared" si="2"/>
        <v>625</v>
      </c>
      <c r="J104" s="25">
        <f t="shared" si="3"/>
        <v>1875</v>
      </c>
      <c r="K104" s="25">
        <v>2500</v>
      </c>
    </row>
    <row r="105" s="1" customFormat="1" spans="1:11">
      <c r="A105" s="22" t="s">
        <v>122</v>
      </c>
      <c r="B105" s="23" t="s">
        <v>100</v>
      </c>
      <c r="C105" s="23">
        <v>500</v>
      </c>
      <c r="D105" s="30">
        <v>1000</v>
      </c>
      <c r="E105" s="25">
        <v>2000</v>
      </c>
      <c r="F105" s="25">
        <v>5000</v>
      </c>
      <c r="G105" s="25">
        <v>10000</v>
      </c>
      <c r="H105" s="25">
        <v>5000</v>
      </c>
      <c r="I105" s="25">
        <f t="shared" si="2"/>
        <v>625</v>
      </c>
      <c r="J105" s="25">
        <f t="shared" si="3"/>
        <v>1875</v>
      </c>
      <c r="K105" s="25">
        <v>2500</v>
      </c>
    </row>
    <row r="106" s="1" customFormat="1" ht="27.6" spans="1:11">
      <c r="A106" s="22" t="s">
        <v>123</v>
      </c>
      <c r="B106" s="23" t="s">
        <v>124</v>
      </c>
      <c r="C106" s="23">
        <v>3000</v>
      </c>
      <c r="D106" s="30">
        <v>3000</v>
      </c>
      <c r="E106" s="25">
        <v>12000</v>
      </c>
      <c r="F106" s="25">
        <v>5000</v>
      </c>
      <c r="G106" s="25">
        <v>10000</v>
      </c>
      <c r="H106" s="25">
        <v>5000</v>
      </c>
      <c r="I106" s="25">
        <f t="shared" si="2"/>
        <v>1875</v>
      </c>
      <c r="J106" s="25">
        <f t="shared" si="3"/>
        <v>5625</v>
      </c>
      <c r="K106" s="25">
        <v>7500</v>
      </c>
    </row>
    <row r="107" s="1" customFormat="1" ht="27.6" spans="1:11">
      <c r="A107" s="22" t="s">
        <v>125</v>
      </c>
      <c r="B107" s="23" t="s">
        <v>124</v>
      </c>
      <c r="C107" s="23">
        <v>2000</v>
      </c>
      <c r="D107" s="30">
        <v>2000</v>
      </c>
      <c r="E107" s="25">
        <v>8000</v>
      </c>
      <c r="F107" s="25">
        <v>5000</v>
      </c>
      <c r="G107" s="25">
        <v>10000</v>
      </c>
      <c r="H107" s="25">
        <v>5000</v>
      </c>
      <c r="I107" s="25">
        <f t="shared" si="2"/>
        <v>1250</v>
      </c>
      <c r="J107" s="25">
        <f t="shared" si="3"/>
        <v>3750</v>
      </c>
      <c r="K107" s="25">
        <v>5000</v>
      </c>
    </row>
    <row r="108" s="1" customFormat="1" ht="27.6" spans="1:11">
      <c r="A108" s="22" t="s">
        <v>126</v>
      </c>
      <c r="B108" s="23" t="s">
        <v>124</v>
      </c>
      <c r="C108" s="23">
        <v>1000</v>
      </c>
      <c r="D108" s="30">
        <v>1000</v>
      </c>
      <c r="E108" s="25">
        <v>4000</v>
      </c>
      <c r="F108" s="25">
        <v>5000</v>
      </c>
      <c r="G108" s="25">
        <v>10000</v>
      </c>
      <c r="H108" s="25">
        <v>5000</v>
      </c>
      <c r="I108" s="25">
        <f t="shared" si="2"/>
        <v>625</v>
      </c>
      <c r="J108" s="25">
        <f t="shared" si="3"/>
        <v>1875</v>
      </c>
      <c r="K108" s="25">
        <v>2500</v>
      </c>
    </row>
    <row r="109" s="1" customFormat="1" ht="27.6" spans="1:11">
      <c r="A109" s="22" t="s">
        <v>127</v>
      </c>
      <c r="B109" s="23" t="s">
        <v>124</v>
      </c>
      <c r="C109" s="23">
        <v>500</v>
      </c>
      <c r="D109" s="30">
        <v>1000</v>
      </c>
      <c r="E109" s="25">
        <v>2000</v>
      </c>
      <c r="F109" s="25">
        <v>5000</v>
      </c>
      <c r="G109" s="25">
        <v>10000</v>
      </c>
      <c r="H109" s="25">
        <v>5000</v>
      </c>
      <c r="I109" s="25">
        <f t="shared" si="2"/>
        <v>625</v>
      </c>
      <c r="J109" s="25">
        <f t="shared" si="3"/>
        <v>1875</v>
      </c>
      <c r="K109" s="25">
        <v>2500</v>
      </c>
    </row>
    <row r="110" s="1" customFormat="1" spans="1:11">
      <c r="A110" s="22" t="s">
        <v>128</v>
      </c>
      <c r="B110" s="23" t="s">
        <v>15</v>
      </c>
      <c r="C110" s="23">
        <v>3000</v>
      </c>
      <c r="D110" s="30">
        <v>3000</v>
      </c>
      <c r="E110" s="25">
        <v>12000</v>
      </c>
      <c r="F110" s="25">
        <v>5000</v>
      </c>
      <c r="G110" s="25">
        <v>10000</v>
      </c>
      <c r="H110" s="25">
        <v>5000</v>
      </c>
      <c r="I110" s="25">
        <f t="shared" si="2"/>
        <v>1875</v>
      </c>
      <c r="J110" s="25">
        <f t="shared" si="3"/>
        <v>5625</v>
      </c>
      <c r="K110" s="25">
        <v>7500</v>
      </c>
    </row>
    <row r="111" s="1" customFormat="1" spans="1:11">
      <c r="A111" s="22" t="s">
        <v>129</v>
      </c>
      <c r="B111" s="23" t="s">
        <v>15</v>
      </c>
      <c r="C111" s="23">
        <v>3000</v>
      </c>
      <c r="D111" s="30">
        <v>3000</v>
      </c>
      <c r="E111" s="25">
        <v>12000</v>
      </c>
      <c r="F111" s="25">
        <v>5000</v>
      </c>
      <c r="G111" s="25">
        <v>10000</v>
      </c>
      <c r="H111" s="25">
        <v>5000</v>
      </c>
      <c r="I111" s="25">
        <f t="shared" si="2"/>
        <v>1875</v>
      </c>
      <c r="J111" s="25">
        <f t="shared" si="3"/>
        <v>5625</v>
      </c>
      <c r="K111" s="25">
        <v>7500</v>
      </c>
    </row>
    <row r="112" s="1" customFormat="1" spans="1:11">
      <c r="A112" s="22" t="s">
        <v>130</v>
      </c>
      <c r="B112" s="23" t="s">
        <v>15</v>
      </c>
      <c r="C112" s="23">
        <v>2000</v>
      </c>
      <c r="D112" s="30">
        <v>2000</v>
      </c>
      <c r="E112" s="25">
        <v>8000</v>
      </c>
      <c r="F112" s="25">
        <v>5000</v>
      </c>
      <c r="G112" s="25">
        <v>10000</v>
      </c>
      <c r="H112" s="25">
        <v>5000</v>
      </c>
      <c r="I112" s="25">
        <f t="shared" si="2"/>
        <v>1250</v>
      </c>
      <c r="J112" s="25">
        <f t="shared" si="3"/>
        <v>3750</v>
      </c>
      <c r="K112" s="25">
        <v>5000</v>
      </c>
    </row>
    <row r="113" s="1" customFormat="1" spans="1:11">
      <c r="A113" s="22" t="s">
        <v>131</v>
      </c>
      <c r="B113" s="23" t="s">
        <v>15</v>
      </c>
      <c r="C113" s="23">
        <v>1000</v>
      </c>
      <c r="D113" s="30">
        <v>1000</v>
      </c>
      <c r="E113" s="25">
        <v>4000</v>
      </c>
      <c r="F113" s="25">
        <v>5000</v>
      </c>
      <c r="G113" s="25">
        <v>10000</v>
      </c>
      <c r="H113" s="25">
        <v>5000</v>
      </c>
      <c r="I113" s="25">
        <f t="shared" si="2"/>
        <v>625</v>
      </c>
      <c r="J113" s="25">
        <f t="shared" si="3"/>
        <v>1875</v>
      </c>
      <c r="K113" s="25">
        <v>2500</v>
      </c>
    </row>
    <row r="114" s="1" customFormat="1" ht="27.6" spans="1:11">
      <c r="A114" s="22" t="s">
        <v>132</v>
      </c>
      <c r="B114" s="23" t="s">
        <v>15</v>
      </c>
      <c r="C114" s="23">
        <v>3000</v>
      </c>
      <c r="D114" s="30">
        <v>3000</v>
      </c>
      <c r="E114" s="25">
        <v>12000</v>
      </c>
      <c r="F114" s="25">
        <v>5000</v>
      </c>
      <c r="G114" s="25">
        <v>10000</v>
      </c>
      <c r="H114" s="25">
        <v>5000</v>
      </c>
      <c r="I114" s="25">
        <f t="shared" si="2"/>
        <v>1875</v>
      </c>
      <c r="J114" s="25">
        <f t="shared" si="3"/>
        <v>5625</v>
      </c>
      <c r="K114" s="25">
        <v>7500</v>
      </c>
    </row>
    <row r="115" s="1" customFormat="1" ht="27.6" spans="1:11">
      <c r="A115" s="22" t="s">
        <v>133</v>
      </c>
      <c r="B115" s="23" t="s">
        <v>15</v>
      </c>
      <c r="C115" s="23">
        <v>3000</v>
      </c>
      <c r="D115" s="30">
        <v>3000</v>
      </c>
      <c r="E115" s="25">
        <v>12000</v>
      </c>
      <c r="F115" s="25">
        <v>5000</v>
      </c>
      <c r="G115" s="25">
        <v>10000</v>
      </c>
      <c r="H115" s="25">
        <v>5000</v>
      </c>
      <c r="I115" s="25">
        <f t="shared" si="2"/>
        <v>1875</v>
      </c>
      <c r="J115" s="25">
        <f t="shared" si="3"/>
        <v>5625</v>
      </c>
      <c r="K115" s="25">
        <v>7500</v>
      </c>
    </row>
    <row r="116" s="1" customFormat="1" spans="1:11">
      <c r="A116" s="22" t="s">
        <v>134</v>
      </c>
      <c r="B116" s="23" t="s">
        <v>15</v>
      </c>
      <c r="C116" s="23">
        <v>2000</v>
      </c>
      <c r="D116" s="30">
        <v>2000</v>
      </c>
      <c r="E116" s="25">
        <v>8000</v>
      </c>
      <c r="F116" s="25">
        <v>5000</v>
      </c>
      <c r="G116" s="25">
        <v>10000</v>
      </c>
      <c r="H116" s="25">
        <v>5000</v>
      </c>
      <c r="I116" s="25">
        <f t="shared" si="2"/>
        <v>1250</v>
      </c>
      <c r="J116" s="25">
        <f t="shared" si="3"/>
        <v>3750</v>
      </c>
      <c r="K116" s="25">
        <v>5000</v>
      </c>
    </row>
    <row r="117" s="1" customFormat="1" spans="1:11">
      <c r="A117" s="22" t="s">
        <v>135</v>
      </c>
      <c r="B117" s="23" t="s">
        <v>15</v>
      </c>
      <c r="C117" s="23">
        <v>2000</v>
      </c>
      <c r="D117" s="30">
        <v>2000</v>
      </c>
      <c r="E117" s="25">
        <v>8000</v>
      </c>
      <c r="F117" s="25">
        <v>5000</v>
      </c>
      <c r="G117" s="25">
        <v>10000</v>
      </c>
      <c r="H117" s="25">
        <v>5000</v>
      </c>
      <c r="I117" s="25">
        <f t="shared" si="2"/>
        <v>1250</v>
      </c>
      <c r="J117" s="25">
        <f t="shared" si="3"/>
        <v>3750</v>
      </c>
      <c r="K117" s="25">
        <v>5000</v>
      </c>
    </row>
    <row r="118" s="1" customFormat="1" spans="1:11">
      <c r="A118" s="22" t="s">
        <v>136</v>
      </c>
      <c r="B118" s="23" t="s">
        <v>15</v>
      </c>
      <c r="C118" s="23">
        <v>1000</v>
      </c>
      <c r="D118" s="30">
        <v>500</v>
      </c>
      <c r="E118" s="25">
        <v>4000</v>
      </c>
      <c r="F118" s="25">
        <v>5000</v>
      </c>
      <c r="G118" s="25">
        <v>10000</v>
      </c>
      <c r="H118" s="25">
        <v>5000</v>
      </c>
      <c r="I118" s="25">
        <f t="shared" si="2"/>
        <v>312.5</v>
      </c>
      <c r="J118" s="25">
        <f t="shared" si="3"/>
        <v>937.5</v>
      </c>
      <c r="K118" s="25">
        <v>1250</v>
      </c>
    </row>
    <row r="119" s="1" customFormat="1" spans="1:11">
      <c r="A119" s="22" t="s">
        <v>137</v>
      </c>
      <c r="B119" s="23" t="s">
        <v>15</v>
      </c>
      <c r="C119" s="23">
        <v>1000</v>
      </c>
      <c r="D119" s="30">
        <v>500</v>
      </c>
      <c r="E119" s="25">
        <v>4000</v>
      </c>
      <c r="F119" s="25">
        <v>5000</v>
      </c>
      <c r="G119" s="25">
        <v>10000</v>
      </c>
      <c r="H119" s="25">
        <v>5000</v>
      </c>
      <c r="I119" s="25">
        <f t="shared" si="2"/>
        <v>312.5</v>
      </c>
      <c r="J119" s="25">
        <f t="shared" si="3"/>
        <v>937.5</v>
      </c>
      <c r="K119" s="25">
        <v>1250</v>
      </c>
    </row>
    <row r="120" s="1" customFormat="1" spans="1:11">
      <c r="A120" s="22" t="s">
        <v>138</v>
      </c>
      <c r="B120" s="23" t="s">
        <v>15</v>
      </c>
      <c r="C120" s="23">
        <v>500</v>
      </c>
      <c r="D120" s="30">
        <v>1000</v>
      </c>
      <c r="E120" s="25">
        <v>2000</v>
      </c>
      <c r="F120" s="25">
        <v>5000</v>
      </c>
      <c r="G120" s="25">
        <v>10000</v>
      </c>
      <c r="H120" s="25">
        <v>5000</v>
      </c>
      <c r="I120" s="25">
        <f t="shared" si="2"/>
        <v>625</v>
      </c>
      <c r="J120" s="25">
        <f t="shared" si="3"/>
        <v>1875</v>
      </c>
      <c r="K120" s="25">
        <v>2500</v>
      </c>
    </row>
    <row r="121" s="1" customFormat="1" spans="1:11">
      <c r="A121" s="22" t="s">
        <v>139</v>
      </c>
      <c r="B121" s="23" t="s">
        <v>15</v>
      </c>
      <c r="C121" s="23">
        <v>500</v>
      </c>
      <c r="D121" s="30">
        <v>1000</v>
      </c>
      <c r="E121" s="25">
        <v>2000</v>
      </c>
      <c r="F121" s="25">
        <v>5000</v>
      </c>
      <c r="G121" s="25">
        <v>10000</v>
      </c>
      <c r="H121" s="25">
        <v>5000</v>
      </c>
      <c r="I121" s="25">
        <f t="shared" si="2"/>
        <v>625</v>
      </c>
      <c r="J121" s="25">
        <f t="shared" si="3"/>
        <v>1875</v>
      </c>
      <c r="K121" s="25">
        <v>2500</v>
      </c>
    </row>
    <row r="122" s="1" customFormat="1" spans="1:11">
      <c r="A122" s="22" t="s">
        <v>140</v>
      </c>
      <c r="B122" s="23" t="s">
        <v>88</v>
      </c>
      <c r="C122" s="23">
        <v>3000</v>
      </c>
      <c r="D122" s="30">
        <v>3000</v>
      </c>
      <c r="E122" s="25">
        <v>12000</v>
      </c>
      <c r="F122" s="25">
        <v>5000</v>
      </c>
      <c r="G122" s="25">
        <v>10000</v>
      </c>
      <c r="H122" s="25">
        <v>5000</v>
      </c>
      <c r="I122" s="25">
        <f t="shared" si="2"/>
        <v>1875</v>
      </c>
      <c r="J122" s="25">
        <f t="shared" si="3"/>
        <v>5625</v>
      </c>
      <c r="K122" s="25">
        <v>7500</v>
      </c>
    </row>
    <row r="123" s="1" customFormat="1" spans="1:11">
      <c r="A123" s="22" t="s">
        <v>141</v>
      </c>
      <c r="B123" s="23" t="s">
        <v>88</v>
      </c>
      <c r="C123" s="23">
        <v>2000</v>
      </c>
      <c r="D123" s="30">
        <v>2000</v>
      </c>
      <c r="E123" s="25">
        <v>8000</v>
      </c>
      <c r="F123" s="25">
        <v>5000</v>
      </c>
      <c r="G123" s="25">
        <v>10000</v>
      </c>
      <c r="H123" s="25">
        <v>5000</v>
      </c>
      <c r="I123" s="25">
        <f t="shared" si="2"/>
        <v>1250</v>
      </c>
      <c r="J123" s="25">
        <f t="shared" si="3"/>
        <v>3750</v>
      </c>
      <c r="K123" s="25">
        <v>5000</v>
      </c>
    </row>
    <row r="124" s="1" customFormat="1" spans="1:11">
      <c r="A124" s="22" t="s">
        <v>142</v>
      </c>
      <c r="B124" s="23"/>
      <c r="C124" s="23">
        <v>1000</v>
      </c>
      <c r="D124" s="30">
        <v>1500</v>
      </c>
      <c r="E124" s="25">
        <v>4000</v>
      </c>
      <c r="F124" s="25">
        <v>5000</v>
      </c>
      <c r="G124" s="25">
        <v>10000</v>
      </c>
      <c r="H124" s="25">
        <v>5000</v>
      </c>
      <c r="I124" s="25">
        <f t="shared" si="2"/>
        <v>937.5</v>
      </c>
      <c r="J124" s="25">
        <f t="shared" si="3"/>
        <v>2812.5</v>
      </c>
      <c r="K124" s="25">
        <v>3750</v>
      </c>
    </row>
    <row r="125" s="1" customFormat="1" ht="27.6" spans="1:11">
      <c r="A125" s="22" t="s">
        <v>143</v>
      </c>
      <c r="B125" s="23" t="s">
        <v>15</v>
      </c>
      <c r="C125" s="23">
        <v>5000</v>
      </c>
      <c r="D125" s="30">
        <v>1000</v>
      </c>
      <c r="E125" s="25">
        <v>20000</v>
      </c>
      <c r="F125" s="25">
        <v>5000</v>
      </c>
      <c r="G125" s="25">
        <v>10000</v>
      </c>
      <c r="H125" s="25">
        <v>5000</v>
      </c>
      <c r="I125" s="25">
        <f t="shared" si="2"/>
        <v>625</v>
      </c>
      <c r="J125" s="25">
        <f t="shared" si="3"/>
        <v>1875</v>
      </c>
      <c r="K125" s="25">
        <v>2500</v>
      </c>
    </row>
    <row r="126" s="1" customFormat="1" ht="27.6" spans="1:11">
      <c r="A126" s="22" t="s">
        <v>144</v>
      </c>
      <c r="B126" s="23" t="s">
        <v>15</v>
      </c>
      <c r="C126" s="23">
        <v>4000</v>
      </c>
      <c r="D126" s="30">
        <v>500</v>
      </c>
      <c r="E126" s="25">
        <v>16000</v>
      </c>
      <c r="F126" s="25">
        <v>5000</v>
      </c>
      <c r="G126" s="25">
        <v>10000</v>
      </c>
      <c r="H126" s="25">
        <v>5000</v>
      </c>
      <c r="I126" s="25">
        <f t="shared" si="2"/>
        <v>312.5</v>
      </c>
      <c r="J126" s="25">
        <f t="shared" si="3"/>
        <v>937.5</v>
      </c>
      <c r="K126" s="25">
        <v>1250</v>
      </c>
    </row>
    <row r="127" s="1" customFormat="1" spans="1:11">
      <c r="A127" s="22" t="s">
        <v>145</v>
      </c>
      <c r="B127" s="23" t="s">
        <v>15</v>
      </c>
      <c r="C127" s="23">
        <v>3000</v>
      </c>
      <c r="D127" s="30">
        <v>3000</v>
      </c>
      <c r="E127" s="25">
        <v>12000</v>
      </c>
      <c r="F127" s="25">
        <v>5000</v>
      </c>
      <c r="G127" s="25">
        <v>10000</v>
      </c>
      <c r="H127" s="25">
        <v>5000</v>
      </c>
      <c r="I127" s="25">
        <f t="shared" si="2"/>
        <v>1875</v>
      </c>
      <c r="J127" s="25">
        <f t="shared" si="3"/>
        <v>5625</v>
      </c>
      <c r="K127" s="25">
        <v>7500</v>
      </c>
    </row>
    <row r="128" s="1" customFormat="1" ht="27.6" spans="1:11">
      <c r="A128" s="22" t="s">
        <v>146</v>
      </c>
      <c r="B128" s="23" t="s">
        <v>15</v>
      </c>
      <c r="C128" s="23">
        <v>2000</v>
      </c>
      <c r="D128" s="30">
        <v>2000</v>
      </c>
      <c r="E128" s="25">
        <v>8000</v>
      </c>
      <c r="F128" s="25">
        <v>5000</v>
      </c>
      <c r="G128" s="25">
        <v>10000</v>
      </c>
      <c r="H128" s="25">
        <v>5000</v>
      </c>
      <c r="I128" s="25">
        <f t="shared" si="2"/>
        <v>1250</v>
      </c>
      <c r="J128" s="25">
        <f t="shared" si="3"/>
        <v>3750</v>
      </c>
      <c r="K128" s="25">
        <v>5000</v>
      </c>
    </row>
    <row r="129" s="1" customFormat="1" spans="1:11 16351:16383">
      <c r="A129" s="22" t="s">
        <v>147</v>
      </c>
      <c r="B129" s="23" t="s">
        <v>15</v>
      </c>
      <c r="C129" s="23">
        <v>1000</v>
      </c>
      <c r="D129" s="30">
        <v>1500</v>
      </c>
      <c r="E129" s="25">
        <v>4000</v>
      </c>
      <c r="F129" s="25">
        <v>5000</v>
      </c>
      <c r="G129" s="25">
        <v>10000</v>
      </c>
      <c r="H129" s="25">
        <v>5000</v>
      </c>
      <c r="I129" s="25">
        <f t="shared" si="2"/>
        <v>937.5</v>
      </c>
      <c r="J129" s="25">
        <f t="shared" si="3"/>
        <v>2812.5</v>
      </c>
      <c r="K129" s="25">
        <v>3750</v>
      </c>
    </row>
    <row r="130" s="1" customFormat="1" spans="1:11 16351:16383">
      <c r="A130" s="22" t="s">
        <v>148</v>
      </c>
      <c r="B130" s="23" t="s">
        <v>149</v>
      </c>
      <c r="C130" s="23">
        <v>500</v>
      </c>
      <c r="D130" s="30">
        <v>1000</v>
      </c>
      <c r="E130" s="25">
        <v>2000</v>
      </c>
      <c r="F130" s="25">
        <v>5000</v>
      </c>
      <c r="G130" s="25">
        <v>10000</v>
      </c>
      <c r="H130" s="25">
        <v>5000</v>
      </c>
      <c r="I130" s="25">
        <f t="shared" si="2"/>
        <v>625</v>
      </c>
      <c r="J130" s="25">
        <f t="shared" si="3"/>
        <v>1875</v>
      </c>
      <c r="K130" s="25">
        <v>2500</v>
      </c>
    </row>
    <row r="131" s="1" customFormat="1" ht="27.6" spans="1:11 16351:16383">
      <c r="A131" s="22" t="s">
        <v>150</v>
      </c>
      <c r="B131" s="23" t="s">
        <v>88</v>
      </c>
      <c r="C131" s="23">
        <v>3000</v>
      </c>
      <c r="D131" s="30">
        <v>3000</v>
      </c>
      <c r="E131" s="25">
        <v>12000</v>
      </c>
      <c r="F131" s="25">
        <v>5000</v>
      </c>
      <c r="G131" s="25">
        <v>10000</v>
      </c>
      <c r="H131" s="25">
        <v>5000</v>
      </c>
      <c r="I131" s="25">
        <f t="shared" si="2"/>
        <v>1875</v>
      </c>
      <c r="J131" s="25">
        <f t="shared" si="3"/>
        <v>5625</v>
      </c>
      <c r="K131" s="25">
        <v>7500</v>
      </c>
    </row>
    <row r="132" s="1" customFormat="1" ht="27.6" spans="1:11 16351:16383">
      <c r="A132" s="22" t="s">
        <v>151</v>
      </c>
      <c r="B132" s="23" t="s">
        <v>88</v>
      </c>
      <c r="C132" s="23">
        <v>2000</v>
      </c>
      <c r="D132" s="30">
        <v>2000</v>
      </c>
      <c r="E132" s="25">
        <v>8000</v>
      </c>
      <c r="F132" s="25">
        <v>5000</v>
      </c>
      <c r="G132" s="25">
        <v>10000</v>
      </c>
      <c r="H132" s="25">
        <v>5000</v>
      </c>
      <c r="I132" s="25">
        <f t="shared" si="2"/>
        <v>1250</v>
      </c>
      <c r="J132" s="25">
        <f t="shared" si="3"/>
        <v>3750</v>
      </c>
      <c r="K132" s="25">
        <v>5000</v>
      </c>
    </row>
    <row r="133" s="1" customFormat="1" ht="27.6" spans="1:11 16351:16383">
      <c r="A133" s="22" t="s">
        <v>152</v>
      </c>
      <c r="B133" s="23" t="s">
        <v>88</v>
      </c>
      <c r="C133" s="23">
        <v>1000</v>
      </c>
      <c r="D133" s="30">
        <v>1000</v>
      </c>
      <c r="E133" s="25">
        <v>4000</v>
      </c>
      <c r="F133" s="25">
        <v>5000</v>
      </c>
      <c r="G133" s="25">
        <v>10000</v>
      </c>
      <c r="H133" s="25">
        <v>5000</v>
      </c>
      <c r="I133" s="25">
        <f t="shared" si="2"/>
        <v>625</v>
      </c>
      <c r="J133" s="25">
        <f t="shared" si="3"/>
        <v>1875</v>
      </c>
      <c r="K133" s="25">
        <v>2500</v>
      </c>
    </row>
    <row r="134" s="1" customFormat="1" spans="1:11 16351:16383">
      <c r="A134" s="34" t="s">
        <v>153</v>
      </c>
      <c r="B134" s="23" t="s">
        <v>154</v>
      </c>
      <c r="C134" s="23"/>
      <c r="D134" s="30">
        <v>3000</v>
      </c>
      <c r="E134" s="25">
        <v>0</v>
      </c>
      <c r="F134" s="25">
        <v>5000</v>
      </c>
      <c r="G134" s="25">
        <v>10000</v>
      </c>
      <c r="H134" s="25">
        <v>5000</v>
      </c>
      <c r="I134" s="25">
        <f t="shared" si="2"/>
        <v>1875</v>
      </c>
      <c r="J134" s="25">
        <f t="shared" si="3"/>
        <v>5625</v>
      </c>
      <c r="K134" s="25">
        <v>7500</v>
      </c>
    </row>
    <row r="135" s="1" customFormat="1" spans="1:11 16351:16383">
      <c r="A135" s="34" t="s">
        <v>155</v>
      </c>
      <c r="B135" s="23" t="s">
        <v>154</v>
      </c>
      <c r="C135" s="23"/>
      <c r="D135" s="30">
        <v>2000</v>
      </c>
      <c r="E135" s="25">
        <v>0</v>
      </c>
      <c r="F135" s="25">
        <v>5000</v>
      </c>
      <c r="G135" s="25">
        <v>10000</v>
      </c>
      <c r="H135" s="25">
        <v>5000</v>
      </c>
      <c r="I135" s="25">
        <f t="shared" si="2"/>
        <v>1250</v>
      </c>
      <c r="J135" s="25">
        <f t="shared" si="3"/>
        <v>3750</v>
      </c>
      <c r="K135" s="25">
        <v>5000</v>
      </c>
    </row>
    <row r="136" s="1" customFormat="1" spans="1:11 16351:16383">
      <c r="A136" s="34" t="s">
        <v>156</v>
      </c>
      <c r="B136" s="23" t="s">
        <v>154</v>
      </c>
      <c r="C136" s="23"/>
      <c r="D136" s="30">
        <v>1000</v>
      </c>
      <c r="E136" s="25">
        <v>0</v>
      </c>
      <c r="F136" s="25">
        <v>5000</v>
      </c>
      <c r="G136" s="25">
        <v>10000</v>
      </c>
      <c r="H136" s="25">
        <v>5000</v>
      </c>
      <c r="I136" s="25">
        <f t="shared" ref="I136:I199" si="4">K136*0.25</f>
        <v>625</v>
      </c>
      <c r="J136" s="25">
        <f t="shared" ref="J136:J199" si="5">K136*0.75</f>
        <v>1875</v>
      </c>
      <c r="K136" s="25">
        <v>2500</v>
      </c>
    </row>
    <row r="137" s="1" customFormat="1" spans="1:11 16351:16383">
      <c r="A137" s="31" t="s">
        <v>157</v>
      </c>
      <c r="B137" s="31"/>
      <c r="C137" s="31"/>
      <c r="D137" s="31"/>
      <c r="E137" s="31"/>
      <c r="F137" s="31"/>
      <c r="G137" s="31"/>
      <c r="H137" s="31"/>
      <c r="I137" s="25">
        <f t="shared" si="4"/>
        <v>0</v>
      </c>
      <c r="J137" s="25">
        <f t="shared" si="5"/>
        <v>0</v>
      </c>
      <c r="K137" s="32"/>
      <c r="XDW137" s="4"/>
      <c r="XDX137" s="4"/>
      <c r="XDY137" s="4"/>
      <c r="XDZ137" s="4"/>
      <c r="XEA137" s="4"/>
      <c r="XEB137" s="4"/>
      <c r="XEC137" s="4"/>
      <c r="XED137" s="4"/>
      <c r="XEE137" s="4"/>
      <c r="XEF137" s="4"/>
      <c r="XEG137" s="4"/>
      <c r="XEH137" s="4"/>
      <c r="XEI137" s="4"/>
      <c r="XEJ137" s="4"/>
      <c r="XEK137" s="4"/>
      <c r="XEL137" s="4"/>
      <c r="XEM137" s="4"/>
      <c r="XEN137" s="4"/>
      <c r="XEO137" s="4"/>
      <c r="XEP137" s="4"/>
      <c r="XEQ137" s="4"/>
      <c r="XER137" s="4"/>
      <c r="XES137" s="4"/>
      <c r="XET137" s="4"/>
      <c r="XEU137" s="4"/>
      <c r="XEV137" s="4"/>
      <c r="XEW137" s="4"/>
      <c r="XEX137" s="4"/>
      <c r="XEY137" s="4"/>
      <c r="XEZ137" s="4"/>
      <c r="XFA137" s="4"/>
      <c r="XFB137" s="4"/>
      <c r="XFC137" s="4"/>
    </row>
    <row r="138" s="1" customFormat="1" spans="1:11 16351:16383">
      <c r="A138" s="19" t="s">
        <v>158</v>
      </c>
      <c r="B138" s="19"/>
      <c r="C138" s="19"/>
      <c r="D138" s="19"/>
      <c r="E138" s="19"/>
      <c r="F138" s="19"/>
      <c r="G138" s="19"/>
      <c r="H138" s="19"/>
      <c r="I138" s="25">
        <f t="shared" si="4"/>
        <v>0</v>
      </c>
      <c r="J138" s="25">
        <f t="shared" si="5"/>
        <v>0</v>
      </c>
      <c r="K138" s="33"/>
      <c r="XDW138" s="4"/>
      <c r="XDX138" s="4"/>
      <c r="XDY138" s="4"/>
      <c r="XDZ138" s="4"/>
      <c r="XEA138" s="4"/>
      <c r="XEB138" s="4"/>
      <c r="XEC138" s="4"/>
      <c r="XED138" s="4"/>
      <c r="XEE138" s="4"/>
      <c r="XEF138" s="4"/>
      <c r="XEG138" s="4"/>
      <c r="XEH138" s="4"/>
      <c r="XEI138" s="4"/>
      <c r="XEJ138" s="4"/>
      <c r="XEK138" s="4"/>
      <c r="XEL138" s="4"/>
      <c r="XEM138" s="4"/>
      <c r="XEN138" s="4"/>
      <c r="XEO138" s="4"/>
      <c r="XEP138" s="4"/>
      <c r="XEQ138" s="4"/>
      <c r="XER138" s="4"/>
      <c r="XES138" s="4"/>
      <c r="XET138" s="4"/>
      <c r="XEU138" s="4"/>
      <c r="XEV138" s="4"/>
      <c r="XEW138" s="4"/>
      <c r="XEX138" s="4"/>
      <c r="XEY138" s="4"/>
      <c r="XEZ138" s="4"/>
      <c r="XFA138" s="4"/>
      <c r="XFB138" s="4"/>
      <c r="XFC138" s="4"/>
    </row>
    <row r="139" s="1" customFormat="1" spans="1:11 16351:16383">
      <c r="A139" s="22" t="s">
        <v>159</v>
      </c>
      <c r="B139" s="23" t="s">
        <v>160</v>
      </c>
      <c r="C139" s="23">
        <v>4000</v>
      </c>
      <c r="D139" s="30">
        <v>3000</v>
      </c>
      <c r="E139" s="25">
        <v>16000</v>
      </c>
      <c r="F139" s="25">
        <v>5000</v>
      </c>
      <c r="G139" s="25">
        <v>10000</v>
      </c>
      <c r="H139" s="25">
        <v>5000</v>
      </c>
      <c r="I139" s="25">
        <f t="shared" si="4"/>
        <v>1875</v>
      </c>
      <c r="J139" s="25">
        <f t="shared" si="5"/>
        <v>5625</v>
      </c>
      <c r="K139" s="25">
        <v>7500</v>
      </c>
    </row>
    <row r="140" s="1" customFormat="1" spans="1:11 16351:16383">
      <c r="A140" s="22" t="s">
        <v>161</v>
      </c>
      <c r="B140" s="23" t="s">
        <v>160</v>
      </c>
      <c r="C140" s="23">
        <v>3000</v>
      </c>
      <c r="D140" s="30">
        <v>2000</v>
      </c>
      <c r="E140" s="25">
        <v>12000</v>
      </c>
      <c r="F140" s="25">
        <v>5000</v>
      </c>
      <c r="G140" s="25">
        <v>10000</v>
      </c>
      <c r="H140" s="25">
        <v>5000</v>
      </c>
      <c r="I140" s="25">
        <f t="shared" si="4"/>
        <v>1250</v>
      </c>
      <c r="J140" s="25">
        <f t="shared" si="5"/>
        <v>3750</v>
      </c>
      <c r="K140" s="25">
        <v>5000</v>
      </c>
    </row>
    <row r="141" s="1" customFormat="1" spans="1:11 16351:16383">
      <c r="A141" s="22" t="s">
        <v>162</v>
      </c>
      <c r="B141" s="23" t="s">
        <v>160</v>
      </c>
      <c r="C141" s="23">
        <v>2000</v>
      </c>
      <c r="D141" s="30">
        <v>1500</v>
      </c>
      <c r="E141" s="25">
        <v>8000</v>
      </c>
      <c r="F141" s="25">
        <v>5000</v>
      </c>
      <c r="G141" s="25">
        <v>10000</v>
      </c>
      <c r="H141" s="25">
        <v>5000</v>
      </c>
      <c r="I141" s="25">
        <f t="shared" si="4"/>
        <v>937.5</v>
      </c>
      <c r="J141" s="25">
        <f t="shared" si="5"/>
        <v>2812.5</v>
      </c>
      <c r="K141" s="25">
        <v>3750</v>
      </c>
    </row>
    <row r="142" s="1" customFormat="1" ht="27.6" spans="1:11 16351:16383">
      <c r="A142" s="22" t="s">
        <v>163</v>
      </c>
      <c r="B142" s="23" t="s">
        <v>160</v>
      </c>
      <c r="C142" s="23">
        <v>1000</v>
      </c>
      <c r="D142" s="30">
        <v>1000</v>
      </c>
      <c r="E142" s="25">
        <v>4000</v>
      </c>
      <c r="F142" s="25">
        <v>5000</v>
      </c>
      <c r="G142" s="25">
        <v>10000</v>
      </c>
      <c r="H142" s="25">
        <v>5000</v>
      </c>
      <c r="I142" s="25">
        <f t="shared" si="4"/>
        <v>625</v>
      </c>
      <c r="J142" s="25">
        <f t="shared" si="5"/>
        <v>1875</v>
      </c>
      <c r="K142" s="25">
        <v>2500</v>
      </c>
    </row>
    <row r="143" s="1" customFormat="1" spans="1:11 16351:16383">
      <c r="A143" s="22" t="s">
        <v>164</v>
      </c>
      <c r="B143" s="23" t="s">
        <v>160</v>
      </c>
      <c r="C143" s="23">
        <v>500</v>
      </c>
      <c r="D143" s="30">
        <v>500</v>
      </c>
      <c r="E143" s="25">
        <v>2000</v>
      </c>
      <c r="F143" s="25">
        <v>5000</v>
      </c>
      <c r="G143" s="25">
        <v>10000</v>
      </c>
      <c r="H143" s="25">
        <v>5000</v>
      </c>
      <c r="I143" s="25">
        <f t="shared" si="4"/>
        <v>312.5</v>
      </c>
      <c r="J143" s="25">
        <f t="shared" si="5"/>
        <v>937.5</v>
      </c>
      <c r="K143" s="25">
        <v>1250</v>
      </c>
    </row>
    <row r="144" s="1" customFormat="1" ht="27.6" spans="1:11 16351:16383">
      <c r="A144" s="22" t="s">
        <v>165</v>
      </c>
      <c r="B144" s="23" t="s">
        <v>166</v>
      </c>
      <c r="C144" s="23">
        <v>4000</v>
      </c>
      <c r="D144" s="30">
        <v>3000</v>
      </c>
      <c r="E144" s="25">
        <v>16000</v>
      </c>
      <c r="F144" s="25">
        <v>5000</v>
      </c>
      <c r="G144" s="25">
        <v>10000</v>
      </c>
      <c r="H144" s="25">
        <v>5000</v>
      </c>
      <c r="I144" s="25">
        <f t="shared" si="4"/>
        <v>1875</v>
      </c>
      <c r="J144" s="25">
        <f t="shared" si="5"/>
        <v>5625</v>
      </c>
      <c r="K144" s="25">
        <v>7500</v>
      </c>
    </row>
    <row r="145" s="1" customFormat="1" ht="27.6" spans="1:11">
      <c r="A145" s="22" t="s">
        <v>167</v>
      </c>
      <c r="B145" s="23" t="s">
        <v>166</v>
      </c>
      <c r="C145" s="23">
        <v>3000</v>
      </c>
      <c r="D145" s="30">
        <v>2000</v>
      </c>
      <c r="E145" s="25">
        <v>12000</v>
      </c>
      <c r="F145" s="25">
        <v>5000</v>
      </c>
      <c r="G145" s="25">
        <v>10000</v>
      </c>
      <c r="H145" s="25">
        <v>5000</v>
      </c>
      <c r="I145" s="25">
        <f t="shared" si="4"/>
        <v>1250</v>
      </c>
      <c r="J145" s="25">
        <f t="shared" si="5"/>
        <v>3750</v>
      </c>
      <c r="K145" s="25">
        <v>5000</v>
      </c>
    </row>
    <row r="146" s="1" customFormat="1" ht="27.6" spans="1:11">
      <c r="A146" s="22" t="s">
        <v>168</v>
      </c>
      <c r="B146" s="23" t="s">
        <v>166</v>
      </c>
      <c r="C146" s="23">
        <v>2000</v>
      </c>
      <c r="D146" s="30">
        <v>1500</v>
      </c>
      <c r="E146" s="25">
        <v>8000</v>
      </c>
      <c r="F146" s="25">
        <v>5000</v>
      </c>
      <c r="G146" s="25">
        <v>10000</v>
      </c>
      <c r="H146" s="25">
        <v>5000</v>
      </c>
      <c r="I146" s="25">
        <f t="shared" si="4"/>
        <v>937.5</v>
      </c>
      <c r="J146" s="25">
        <f t="shared" si="5"/>
        <v>2812.5</v>
      </c>
      <c r="K146" s="25">
        <v>3750</v>
      </c>
    </row>
    <row r="147" s="1" customFormat="1" ht="27.6" spans="1:11">
      <c r="A147" s="22" t="s">
        <v>169</v>
      </c>
      <c r="B147" s="23" t="s">
        <v>166</v>
      </c>
      <c r="C147" s="23">
        <v>1000</v>
      </c>
      <c r="D147" s="30">
        <v>1000</v>
      </c>
      <c r="E147" s="25">
        <v>4000</v>
      </c>
      <c r="F147" s="25">
        <v>5000</v>
      </c>
      <c r="G147" s="25">
        <v>10000</v>
      </c>
      <c r="H147" s="25">
        <v>5000</v>
      </c>
      <c r="I147" s="25">
        <f t="shared" si="4"/>
        <v>625</v>
      </c>
      <c r="J147" s="25">
        <f t="shared" si="5"/>
        <v>1875</v>
      </c>
      <c r="K147" s="25">
        <v>2500</v>
      </c>
    </row>
    <row r="148" s="1" customFormat="1" spans="1:11">
      <c r="A148" s="22" t="s">
        <v>170</v>
      </c>
      <c r="B148" s="23" t="s">
        <v>171</v>
      </c>
      <c r="C148" s="23">
        <v>4000</v>
      </c>
      <c r="D148" s="30">
        <v>3000</v>
      </c>
      <c r="E148" s="25">
        <v>16000</v>
      </c>
      <c r="F148" s="25">
        <v>5000</v>
      </c>
      <c r="G148" s="25">
        <v>10000</v>
      </c>
      <c r="H148" s="25">
        <v>5000</v>
      </c>
      <c r="I148" s="25">
        <f t="shared" si="4"/>
        <v>1875</v>
      </c>
      <c r="J148" s="25">
        <f t="shared" si="5"/>
        <v>5625</v>
      </c>
      <c r="K148" s="25">
        <v>7500</v>
      </c>
    </row>
    <row r="149" s="1" customFormat="1" spans="1:11">
      <c r="A149" s="22" t="s">
        <v>172</v>
      </c>
      <c r="B149" s="23" t="s">
        <v>171</v>
      </c>
      <c r="C149" s="23">
        <v>3000</v>
      </c>
      <c r="D149" s="30">
        <v>2000</v>
      </c>
      <c r="E149" s="25">
        <v>12000</v>
      </c>
      <c r="F149" s="25">
        <v>5000</v>
      </c>
      <c r="G149" s="25">
        <v>10000</v>
      </c>
      <c r="H149" s="25">
        <v>5000</v>
      </c>
      <c r="I149" s="25">
        <f t="shared" si="4"/>
        <v>1250</v>
      </c>
      <c r="J149" s="25">
        <f t="shared" si="5"/>
        <v>3750</v>
      </c>
      <c r="K149" s="25">
        <v>5000</v>
      </c>
    </row>
    <row r="150" s="1" customFormat="1" spans="1:11">
      <c r="A150" s="22" t="s">
        <v>173</v>
      </c>
      <c r="B150" s="23" t="s">
        <v>171</v>
      </c>
      <c r="C150" s="23">
        <v>2000</v>
      </c>
      <c r="D150" s="30">
        <v>1500</v>
      </c>
      <c r="E150" s="25">
        <v>8000</v>
      </c>
      <c r="F150" s="25">
        <v>5000</v>
      </c>
      <c r="G150" s="25">
        <v>10000</v>
      </c>
      <c r="H150" s="25">
        <v>5000</v>
      </c>
      <c r="I150" s="25">
        <f t="shared" si="4"/>
        <v>937.5</v>
      </c>
      <c r="J150" s="25">
        <f t="shared" si="5"/>
        <v>2812.5</v>
      </c>
      <c r="K150" s="25">
        <v>3750</v>
      </c>
    </row>
    <row r="151" s="1" customFormat="1" spans="1:11">
      <c r="A151" s="22" t="s">
        <v>174</v>
      </c>
      <c r="B151" s="23" t="s">
        <v>171</v>
      </c>
      <c r="C151" s="23">
        <v>1000</v>
      </c>
      <c r="D151" s="30">
        <v>1000</v>
      </c>
      <c r="E151" s="25">
        <v>4000</v>
      </c>
      <c r="F151" s="25">
        <v>5000</v>
      </c>
      <c r="G151" s="25">
        <v>10000</v>
      </c>
      <c r="H151" s="25">
        <v>5000</v>
      </c>
      <c r="I151" s="25">
        <f t="shared" si="4"/>
        <v>625</v>
      </c>
      <c r="J151" s="25">
        <f t="shared" si="5"/>
        <v>1875</v>
      </c>
      <c r="K151" s="25">
        <v>2500</v>
      </c>
    </row>
    <row r="152" s="1" customFormat="1" spans="1:11">
      <c r="A152" s="22" t="s">
        <v>175</v>
      </c>
      <c r="B152" s="23" t="s">
        <v>171</v>
      </c>
      <c r="C152" s="23"/>
      <c r="D152" s="24">
        <v>3000</v>
      </c>
      <c r="E152" s="25">
        <v>0</v>
      </c>
      <c r="F152" s="25">
        <v>5000</v>
      </c>
      <c r="G152" s="25">
        <v>10000</v>
      </c>
      <c r="H152" s="25">
        <v>5000</v>
      </c>
      <c r="I152" s="25">
        <f t="shared" si="4"/>
        <v>1875</v>
      </c>
      <c r="J152" s="25">
        <f t="shared" si="5"/>
        <v>5625</v>
      </c>
      <c r="K152" s="25">
        <v>7500</v>
      </c>
    </row>
    <row r="153" s="1" customFormat="1" spans="1:11">
      <c r="A153" s="22" t="s">
        <v>176</v>
      </c>
      <c r="B153" s="23" t="s">
        <v>171</v>
      </c>
      <c r="C153" s="23"/>
      <c r="D153" s="24">
        <v>2000</v>
      </c>
      <c r="E153" s="25">
        <v>0</v>
      </c>
      <c r="F153" s="25">
        <v>5000</v>
      </c>
      <c r="G153" s="25">
        <v>10000</v>
      </c>
      <c r="H153" s="25">
        <v>5000</v>
      </c>
      <c r="I153" s="25">
        <f t="shared" si="4"/>
        <v>1250</v>
      </c>
      <c r="J153" s="25">
        <f t="shared" si="5"/>
        <v>3750</v>
      </c>
      <c r="K153" s="25">
        <v>5000</v>
      </c>
    </row>
    <row r="154" s="1" customFormat="1" spans="1:11">
      <c r="A154" s="22" t="s">
        <v>177</v>
      </c>
      <c r="B154" s="23" t="s">
        <v>171</v>
      </c>
      <c r="C154" s="23"/>
      <c r="D154" s="24">
        <v>1500</v>
      </c>
      <c r="E154" s="25">
        <v>0</v>
      </c>
      <c r="F154" s="25">
        <v>5000</v>
      </c>
      <c r="G154" s="25">
        <v>10000</v>
      </c>
      <c r="H154" s="25">
        <v>5000</v>
      </c>
      <c r="I154" s="25">
        <f t="shared" si="4"/>
        <v>937.5</v>
      </c>
      <c r="J154" s="25">
        <f t="shared" si="5"/>
        <v>2812.5</v>
      </c>
      <c r="K154" s="25">
        <v>3750</v>
      </c>
    </row>
    <row r="155" s="1" customFormat="1" ht="27.6" spans="1:11">
      <c r="A155" s="22" t="s">
        <v>178</v>
      </c>
      <c r="B155" s="23" t="s">
        <v>179</v>
      </c>
      <c r="C155" s="23">
        <v>3000</v>
      </c>
      <c r="D155" s="24">
        <v>3000</v>
      </c>
      <c r="E155" s="25">
        <v>12000</v>
      </c>
      <c r="F155" s="25">
        <v>5000</v>
      </c>
      <c r="G155" s="25">
        <v>10000</v>
      </c>
      <c r="H155" s="25">
        <v>5000</v>
      </c>
      <c r="I155" s="25">
        <f t="shared" si="4"/>
        <v>1875</v>
      </c>
      <c r="J155" s="25">
        <f t="shared" si="5"/>
        <v>5625</v>
      </c>
      <c r="K155" s="25">
        <v>7500</v>
      </c>
    </row>
    <row r="156" s="1" customFormat="1" ht="27.6" spans="1:11">
      <c r="A156" s="22" t="s">
        <v>180</v>
      </c>
      <c r="B156" s="23" t="s">
        <v>179</v>
      </c>
      <c r="C156" s="23">
        <v>2000</v>
      </c>
      <c r="D156" s="24">
        <v>2000</v>
      </c>
      <c r="E156" s="25">
        <v>8000</v>
      </c>
      <c r="F156" s="25">
        <v>5000</v>
      </c>
      <c r="G156" s="25">
        <v>10000</v>
      </c>
      <c r="H156" s="25">
        <v>5000</v>
      </c>
      <c r="I156" s="25">
        <f t="shared" si="4"/>
        <v>1250</v>
      </c>
      <c r="J156" s="25">
        <f t="shared" si="5"/>
        <v>3750</v>
      </c>
      <c r="K156" s="25">
        <v>5000</v>
      </c>
    </row>
    <row r="157" s="1" customFormat="1" ht="27.6" spans="1:11">
      <c r="A157" s="22" t="s">
        <v>181</v>
      </c>
      <c r="B157" s="23" t="s">
        <v>179</v>
      </c>
      <c r="C157" s="23">
        <v>1000</v>
      </c>
      <c r="D157" s="24">
        <v>1500</v>
      </c>
      <c r="E157" s="25">
        <v>4000</v>
      </c>
      <c r="F157" s="25">
        <v>5000</v>
      </c>
      <c r="G157" s="25">
        <v>10000</v>
      </c>
      <c r="H157" s="25">
        <v>5000</v>
      </c>
      <c r="I157" s="25">
        <f t="shared" si="4"/>
        <v>937.5</v>
      </c>
      <c r="J157" s="25">
        <f t="shared" si="5"/>
        <v>2812.5</v>
      </c>
      <c r="K157" s="25">
        <v>3750</v>
      </c>
    </row>
    <row r="158" s="1" customFormat="1" spans="1:11">
      <c r="A158" s="22" t="s">
        <v>182</v>
      </c>
      <c r="B158" s="23" t="s">
        <v>160</v>
      </c>
      <c r="C158" s="23">
        <v>3000</v>
      </c>
      <c r="D158" s="30">
        <v>3000</v>
      </c>
      <c r="E158" s="25">
        <v>12000</v>
      </c>
      <c r="F158" s="25">
        <v>5000</v>
      </c>
      <c r="G158" s="25">
        <v>10000</v>
      </c>
      <c r="H158" s="25">
        <v>5000</v>
      </c>
      <c r="I158" s="25">
        <f t="shared" si="4"/>
        <v>1875</v>
      </c>
      <c r="J158" s="25">
        <f t="shared" si="5"/>
        <v>5625</v>
      </c>
      <c r="K158" s="25">
        <v>7500</v>
      </c>
    </row>
    <row r="159" s="1" customFormat="1" spans="1:11">
      <c r="A159" s="22" t="s">
        <v>183</v>
      </c>
      <c r="B159" s="23" t="s">
        <v>160</v>
      </c>
      <c r="C159" s="23">
        <v>2000</v>
      </c>
      <c r="D159" s="30">
        <v>2000</v>
      </c>
      <c r="E159" s="25">
        <v>8000</v>
      </c>
      <c r="F159" s="25">
        <v>5000</v>
      </c>
      <c r="G159" s="25">
        <v>10000</v>
      </c>
      <c r="H159" s="25">
        <v>5000</v>
      </c>
      <c r="I159" s="25">
        <f t="shared" si="4"/>
        <v>1250</v>
      </c>
      <c r="J159" s="25">
        <f t="shared" si="5"/>
        <v>3750</v>
      </c>
      <c r="K159" s="25">
        <v>5000</v>
      </c>
    </row>
    <row r="160" s="1" customFormat="1" spans="1:11">
      <c r="A160" s="22" t="s">
        <v>184</v>
      </c>
      <c r="B160" s="23" t="s">
        <v>160</v>
      </c>
      <c r="C160" s="23">
        <v>1000</v>
      </c>
      <c r="D160" s="30">
        <v>500</v>
      </c>
      <c r="E160" s="25">
        <v>4000</v>
      </c>
      <c r="F160" s="25">
        <v>5000</v>
      </c>
      <c r="G160" s="25">
        <v>10000</v>
      </c>
      <c r="H160" s="25">
        <v>5000</v>
      </c>
      <c r="I160" s="25">
        <f t="shared" si="4"/>
        <v>312.5</v>
      </c>
      <c r="J160" s="25">
        <f t="shared" si="5"/>
        <v>937.5</v>
      </c>
      <c r="K160" s="25">
        <v>1250</v>
      </c>
    </row>
    <row r="161" s="1" customFormat="1" ht="27.6" spans="1:11 16351:16383">
      <c r="A161" s="22" t="s">
        <v>185</v>
      </c>
      <c r="B161" s="23" t="s">
        <v>160</v>
      </c>
      <c r="C161" s="23">
        <v>500</v>
      </c>
      <c r="D161" s="30">
        <v>1000</v>
      </c>
      <c r="E161" s="25">
        <v>2000</v>
      </c>
      <c r="F161" s="25">
        <v>5000</v>
      </c>
      <c r="G161" s="25">
        <v>10000</v>
      </c>
      <c r="H161" s="25">
        <v>5000</v>
      </c>
      <c r="I161" s="25">
        <f t="shared" si="4"/>
        <v>625</v>
      </c>
      <c r="J161" s="25">
        <f t="shared" si="5"/>
        <v>1875</v>
      </c>
      <c r="K161" s="25">
        <v>2500</v>
      </c>
    </row>
    <row r="162" s="1" customFormat="1" spans="1:11 16351:16383">
      <c r="A162" s="31" t="s">
        <v>186</v>
      </c>
      <c r="B162" s="31"/>
      <c r="C162" s="31"/>
      <c r="D162" s="31"/>
      <c r="E162" s="31"/>
      <c r="F162" s="31"/>
      <c r="G162" s="31"/>
      <c r="H162" s="31"/>
      <c r="I162" s="25">
        <f t="shared" si="4"/>
        <v>0</v>
      </c>
      <c r="J162" s="25">
        <f t="shared" si="5"/>
        <v>0</v>
      </c>
      <c r="K162" s="32"/>
      <c r="XDW162" s="4"/>
      <c r="XDX162" s="4"/>
      <c r="XDY162" s="4"/>
      <c r="XDZ162" s="4"/>
      <c r="XEA162" s="4"/>
      <c r="XEB162" s="4"/>
      <c r="XEC162" s="4"/>
      <c r="XED162" s="4"/>
      <c r="XEE162" s="4"/>
      <c r="XEF162" s="4"/>
      <c r="XEG162" s="4"/>
      <c r="XEH162" s="4"/>
      <c r="XEI162" s="4"/>
      <c r="XEJ162" s="4"/>
      <c r="XEK162" s="4"/>
      <c r="XEL162" s="4"/>
      <c r="XEM162" s="4"/>
      <c r="XEN162" s="4"/>
      <c r="XEO162" s="4"/>
      <c r="XEP162" s="4"/>
      <c r="XEQ162" s="4"/>
      <c r="XER162" s="4"/>
      <c r="XES162" s="4"/>
      <c r="XET162" s="4"/>
      <c r="XEU162" s="4"/>
      <c r="XEV162" s="4"/>
      <c r="XEW162" s="4"/>
      <c r="XEX162" s="4"/>
      <c r="XEY162" s="4"/>
      <c r="XEZ162" s="4"/>
      <c r="XFA162" s="4"/>
      <c r="XFB162" s="4"/>
      <c r="XFC162" s="4"/>
    </row>
    <row r="163" s="1" customFormat="1" spans="1:11 16351:16383">
      <c r="A163" s="19" t="s">
        <v>187</v>
      </c>
      <c r="B163" s="19"/>
      <c r="C163" s="19"/>
      <c r="D163" s="19"/>
      <c r="E163" s="19"/>
      <c r="F163" s="19"/>
      <c r="G163" s="19"/>
      <c r="H163" s="19"/>
      <c r="I163" s="25">
        <f t="shared" si="4"/>
        <v>0</v>
      </c>
      <c r="J163" s="25">
        <f t="shared" si="5"/>
        <v>0</v>
      </c>
      <c r="K163" s="33"/>
      <c r="XDW163" s="4"/>
      <c r="XDX163" s="4"/>
      <c r="XDY163" s="4"/>
      <c r="XDZ163" s="4"/>
      <c r="XEA163" s="4"/>
      <c r="XEB163" s="4"/>
      <c r="XEC163" s="4"/>
      <c r="XED163" s="4"/>
      <c r="XEE163" s="4"/>
      <c r="XEF163" s="4"/>
      <c r="XEG163" s="4"/>
      <c r="XEH163" s="4"/>
      <c r="XEI163" s="4"/>
      <c r="XEJ163" s="4"/>
      <c r="XEK163" s="4"/>
      <c r="XEL163" s="4"/>
      <c r="XEM163" s="4"/>
      <c r="XEN163" s="4"/>
      <c r="XEO163" s="4"/>
      <c r="XEP163" s="4"/>
      <c r="XEQ163" s="4"/>
      <c r="XER163" s="4"/>
      <c r="XES163" s="4"/>
      <c r="XET163" s="4"/>
      <c r="XEU163" s="4"/>
      <c r="XEV163" s="4"/>
      <c r="XEW163" s="4"/>
      <c r="XEX163" s="4"/>
      <c r="XEY163" s="4"/>
      <c r="XEZ163" s="4"/>
      <c r="XFA163" s="4"/>
      <c r="XFB163" s="4"/>
      <c r="XFC163" s="4"/>
    </row>
    <row r="164" s="1" customFormat="1" ht="27.6" spans="1:11 16351:16383">
      <c r="A164" s="35" t="s">
        <v>188</v>
      </c>
      <c r="B164" s="36" t="s">
        <v>189</v>
      </c>
      <c r="C164" s="23">
        <v>3000</v>
      </c>
      <c r="D164" s="30">
        <v>3000</v>
      </c>
      <c r="E164" s="25">
        <v>12000</v>
      </c>
      <c r="F164" s="25">
        <v>5000</v>
      </c>
      <c r="G164" s="25">
        <v>10000</v>
      </c>
      <c r="H164" s="25">
        <v>5000</v>
      </c>
      <c r="I164" s="25">
        <f t="shared" si="4"/>
        <v>1875</v>
      </c>
      <c r="J164" s="25">
        <f t="shared" si="5"/>
        <v>5625</v>
      </c>
      <c r="K164" s="25">
        <v>7500</v>
      </c>
    </row>
    <row r="165" s="1" customFormat="1" ht="27.6" spans="1:11 16351:16383">
      <c r="A165" s="35" t="s">
        <v>190</v>
      </c>
      <c r="B165" s="36" t="s">
        <v>189</v>
      </c>
      <c r="C165" s="23">
        <v>2000</v>
      </c>
      <c r="D165" s="30">
        <v>2000</v>
      </c>
      <c r="E165" s="25">
        <v>8000</v>
      </c>
      <c r="F165" s="25">
        <v>5000</v>
      </c>
      <c r="G165" s="25">
        <v>10000</v>
      </c>
      <c r="H165" s="25">
        <v>5000</v>
      </c>
      <c r="I165" s="25">
        <f t="shared" si="4"/>
        <v>1250</v>
      </c>
      <c r="J165" s="25">
        <f t="shared" si="5"/>
        <v>3750</v>
      </c>
      <c r="K165" s="25">
        <v>5000</v>
      </c>
    </row>
    <row r="166" s="1" customFormat="1" ht="27.6" spans="1:11 16351:16383">
      <c r="A166" s="35" t="s">
        <v>191</v>
      </c>
      <c r="B166" s="36" t="s">
        <v>189</v>
      </c>
      <c r="C166" s="23">
        <v>1000</v>
      </c>
      <c r="D166" s="30">
        <v>1500</v>
      </c>
      <c r="E166" s="25">
        <v>4000</v>
      </c>
      <c r="F166" s="25">
        <v>5000</v>
      </c>
      <c r="G166" s="25">
        <v>10000</v>
      </c>
      <c r="H166" s="25">
        <v>5000</v>
      </c>
      <c r="I166" s="25">
        <f t="shared" si="4"/>
        <v>937.5</v>
      </c>
      <c r="J166" s="25">
        <f t="shared" si="5"/>
        <v>2812.5</v>
      </c>
      <c r="K166" s="25">
        <v>3750</v>
      </c>
    </row>
    <row r="167" s="1" customFormat="1" ht="27.6" spans="1:11 16351:16383">
      <c r="A167" s="35" t="s">
        <v>192</v>
      </c>
      <c r="B167" s="36" t="s">
        <v>189</v>
      </c>
      <c r="C167" s="23">
        <v>500</v>
      </c>
      <c r="D167" s="30">
        <v>3000</v>
      </c>
      <c r="E167" s="25">
        <v>2000</v>
      </c>
      <c r="F167" s="25">
        <v>5000</v>
      </c>
      <c r="G167" s="25">
        <v>10000</v>
      </c>
      <c r="H167" s="25">
        <v>5000</v>
      </c>
      <c r="I167" s="25">
        <f t="shared" si="4"/>
        <v>1875</v>
      </c>
      <c r="J167" s="25">
        <f t="shared" si="5"/>
        <v>5625</v>
      </c>
      <c r="K167" s="25">
        <v>7500</v>
      </c>
    </row>
    <row r="168" s="1" customFormat="1" spans="1:11 16351:16383">
      <c r="A168" s="35" t="s">
        <v>193</v>
      </c>
      <c r="B168" s="36" t="s">
        <v>194</v>
      </c>
      <c r="C168" s="23">
        <v>3000</v>
      </c>
      <c r="D168" s="30">
        <v>2000</v>
      </c>
      <c r="E168" s="25">
        <v>12000</v>
      </c>
      <c r="F168" s="25">
        <v>5000</v>
      </c>
      <c r="G168" s="25">
        <v>10000</v>
      </c>
      <c r="H168" s="25">
        <v>5000</v>
      </c>
      <c r="I168" s="25">
        <f t="shared" si="4"/>
        <v>1250</v>
      </c>
      <c r="J168" s="25">
        <f t="shared" si="5"/>
        <v>3750</v>
      </c>
      <c r="K168" s="25">
        <v>5000</v>
      </c>
    </row>
    <row r="169" s="1" customFormat="1" spans="1:11 16351:16383">
      <c r="A169" s="35" t="s">
        <v>195</v>
      </c>
      <c r="B169" s="36" t="s">
        <v>194</v>
      </c>
      <c r="C169" s="23">
        <v>2000</v>
      </c>
      <c r="D169" s="30">
        <v>1500</v>
      </c>
      <c r="E169" s="25">
        <v>8000</v>
      </c>
      <c r="F169" s="25">
        <v>5000</v>
      </c>
      <c r="G169" s="25">
        <v>10000</v>
      </c>
      <c r="H169" s="25">
        <v>5000</v>
      </c>
      <c r="I169" s="25">
        <f t="shared" si="4"/>
        <v>937.5</v>
      </c>
      <c r="J169" s="25">
        <f t="shared" si="5"/>
        <v>2812.5</v>
      </c>
      <c r="K169" s="25">
        <v>3750</v>
      </c>
    </row>
    <row r="170" s="1" customFormat="1" spans="1:11 16351:16383">
      <c r="A170" s="35" t="s">
        <v>196</v>
      </c>
      <c r="B170" s="36" t="s">
        <v>194</v>
      </c>
      <c r="C170" s="23">
        <v>1000</v>
      </c>
      <c r="D170" s="30">
        <v>1000</v>
      </c>
      <c r="E170" s="25">
        <v>4000</v>
      </c>
      <c r="F170" s="25">
        <v>5000</v>
      </c>
      <c r="G170" s="25">
        <v>10000</v>
      </c>
      <c r="H170" s="25">
        <v>5000</v>
      </c>
      <c r="I170" s="25">
        <f t="shared" si="4"/>
        <v>625</v>
      </c>
      <c r="J170" s="25">
        <f t="shared" si="5"/>
        <v>1875</v>
      </c>
      <c r="K170" s="25">
        <v>2500</v>
      </c>
    </row>
    <row r="171" s="1" customFormat="1" spans="1:11 16351:16383">
      <c r="A171" s="35" t="s">
        <v>197</v>
      </c>
      <c r="B171" s="36" t="s">
        <v>194</v>
      </c>
      <c r="C171" s="23">
        <v>3000</v>
      </c>
      <c r="D171" s="30">
        <v>3000</v>
      </c>
      <c r="E171" s="25">
        <v>12000</v>
      </c>
      <c r="F171" s="25">
        <v>5000</v>
      </c>
      <c r="G171" s="25">
        <v>10000</v>
      </c>
      <c r="H171" s="25">
        <v>5000</v>
      </c>
      <c r="I171" s="25">
        <f t="shared" si="4"/>
        <v>1875</v>
      </c>
      <c r="J171" s="25">
        <f t="shared" si="5"/>
        <v>5625</v>
      </c>
      <c r="K171" s="25">
        <v>7500</v>
      </c>
    </row>
    <row r="172" s="1" customFormat="1" spans="1:11 16351:16383">
      <c r="A172" s="35" t="s">
        <v>198</v>
      </c>
      <c r="B172" s="36" t="s">
        <v>194</v>
      </c>
      <c r="C172" s="23">
        <v>2000</v>
      </c>
      <c r="D172" s="30">
        <v>2000</v>
      </c>
      <c r="E172" s="25">
        <v>8000</v>
      </c>
      <c r="F172" s="25">
        <v>5000</v>
      </c>
      <c r="G172" s="25">
        <v>10000</v>
      </c>
      <c r="H172" s="25">
        <v>5000</v>
      </c>
      <c r="I172" s="25">
        <f t="shared" si="4"/>
        <v>1250</v>
      </c>
      <c r="J172" s="25">
        <f t="shared" si="5"/>
        <v>3750</v>
      </c>
      <c r="K172" s="25">
        <v>5000</v>
      </c>
    </row>
    <row r="173" s="1" customFormat="1" spans="1:11 16351:16383">
      <c r="A173" s="35" t="s">
        <v>199</v>
      </c>
      <c r="B173" s="36" t="s">
        <v>194</v>
      </c>
      <c r="C173" s="23">
        <v>1000</v>
      </c>
      <c r="D173" s="30">
        <v>1500</v>
      </c>
      <c r="E173" s="25">
        <v>4000</v>
      </c>
      <c r="F173" s="25">
        <v>5000</v>
      </c>
      <c r="G173" s="25">
        <v>10000</v>
      </c>
      <c r="H173" s="25">
        <v>5000</v>
      </c>
      <c r="I173" s="25">
        <f t="shared" si="4"/>
        <v>937.5</v>
      </c>
      <c r="J173" s="25">
        <f t="shared" si="5"/>
        <v>2812.5</v>
      </c>
      <c r="K173" s="25">
        <v>3750</v>
      </c>
    </row>
    <row r="174" s="1" customFormat="1" spans="1:11 16351:16383">
      <c r="A174" s="35" t="s">
        <v>200</v>
      </c>
      <c r="B174" s="36" t="s">
        <v>194</v>
      </c>
      <c r="C174" s="23">
        <v>3000</v>
      </c>
      <c r="D174" s="30">
        <v>3000</v>
      </c>
      <c r="E174" s="25">
        <v>12000</v>
      </c>
      <c r="F174" s="25">
        <v>5000</v>
      </c>
      <c r="G174" s="25">
        <v>10000</v>
      </c>
      <c r="H174" s="25">
        <v>5000</v>
      </c>
      <c r="I174" s="25">
        <f t="shared" si="4"/>
        <v>1875</v>
      </c>
      <c r="J174" s="25">
        <f t="shared" si="5"/>
        <v>5625</v>
      </c>
      <c r="K174" s="25">
        <v>7500</v>
      </c>
    </row>
    <row r="175" s="1" customFormat="1" spans="1:11 16351:16383">
      <c r="A175" s="35" t="s">
        <v>201</v>
      </c>
      <c r="B175" s="36" t="s">
        <v>194</v>
      </c>
      <c r="C175" s="23">
        <v>2000</v>
      </c>
      <c r="D175" s="30">
        <v>2000</v>
      </c>
      <c r="E175" s="25">
        <v>8000</v>
      </c>
      <c r="F175" s="25">
        <v>5000</v>
      </c>
      <c r="G175" s="25">
        <v>10000</v>
      </c>
      <c r="H175" s="25">
        <v>5000</v>
      </c>
      <c r="I175" s="25">
        <f t="shared" si="4"/>
        <v>1250</v>
      </c>
      <c r="J175" s="25">
        <f t="shared" si="5"/>
        <v>3750</v>
      </c>
      <c r="K175" s="25">
        <v>5000</v>
      </c>
    </row>
    <row r="176" s="1" customFormat="1" spans="1:11 16351:16383">
      <c r="A176" s="35" t="s">
        <v>202</v>
      </c>
      <c r="B176" s="36" t="s">
        <v>194</v>
      </c>
      <c r="C176" s="23">
        <v>1000</v>
      </c>
      <c r="D176" s="30">
        <v>1000</v>
      </c>
      <c r="E176" s="25">
        <v>4000</v>
      </c>
      <c r="F176" s="25">
        <v>5000</v>
      </c>
      <c r="G176" s="25">
        <v>10000</v>
      </c>
      <c r="H176" s="25">
        <v>5000</v>
      </c>
      <c r="I176" s="25">
        <f t="shared" si="4"/>
        <v>625</v>
      </c>
      <c r="J176" s="25">
        <f t="shared" si="5"/>
        <v>1875</v>
      </c>
      <c r="K176" s="25">
        <v>2500</v>
      </c>
    </row>
    <row r="177" s="1" customFormat="1" spans="1:11">
      <c r="A177" s="35" t="s">
        <v>203</v>
      </c>
      <c r="B177" s="36" t="s">
        <v>204</v>
      </c>
      <c r="C177" s="23">
        <v>5000</v>
      </c>
      <c r="D177" s="30">
        <v>3000</v>
      </c>
      <c r="E177" s="25">
        <v>20000</v>
      </c>
      <c r="F177" s="25">
        <v>5000</v>
      </c>
      <c r="G177" s="25">
        <v>10000</v>
      </c>
      <c r="H177" s="25">
        <v>5000</v>
      </c>
      <c r="I177" s="25">
        <f t="shared" si="4"/>
        <v>1875</v>
      </c>
      <c r="J177" s="25">
        <f t="shared" si="5"/>
        <v>5625</v>
      </c>
      <c r="K177" s="25">
        <v>7500</v>
      </c>
    </row>
    <row r="178" s="1" customFormat="1" spans="1:11">
      <c r="A178" s="35" t="s">
        <v>205</v>
      </c>
      <c r="B178" s="36" t="s">
        <v>204</v>
      </c>
      <c r="C178" s="23">
        <v>4000</v>
      </c>
      <c r="D178" s="30">
        <v>2000</v>
      </c>
      <c r="E178" s="25">
        <v>16000</v>
      </c>
      <c r="F178" s="25">
        <v>5000</v>
      </c>
      <c r="G178" s="25">
        <v>10000</v>
      </c>
      <c r="H178" s="25">
        <v>5000</v>
      </c>
      <c r="I178" s="25">
        <f t="shared" si="4"/>
        <v>1250</v>
      </c>
      <c r="J178" s="25">
        <f t="shared" si="5"/>
        <v>3750</v>
      </c>
      <c r="K178" s="25">
        <v>5000</v>
      </c>
    </row>
    <row r="179" s="1" customFormat="1" spans="1:11">
      <c r="A179" s="35" t="s">
        <v>206</v>
      </c>
      <c r="B179" s="36" t="s">
        <v>204</v>
      </c>
      <c r="C179" s="23">
        <v>3000</v>
      </c>
      <c r="D179" s="30">
        <v>2000</v>
      </c>
      <c r="E179" s="25">
        <v>12000</v>
      </c>
      <c r="F179" s="25">
        <v>5000</v>
      </c>
      <c r="G179" s="25">
        <v>10000</v>
      </c>
      <c r="H179" s="25">
        <v>5000</v>
      </c>
      <c r="I179" s="25">
        <f t="shared" si="4"/>
        <v>1250</v>
      </c>
      <c r="J179" s="25">
        <f t="shared" si="5"/>
        <v>3750</v>
      </c>
      <c r="K179" s="25">
        <v>5000</v>
      </c>
    </row>
    <row r="180" s="1" customFormat="1" spans="1:11">
      <c r="A180" s="35" t="s">
        <v>207</v>
      </c>
      <c r="B180" s="36" t="s">
        <v>204</v>
      </c>
      <c r="C180" s="23">
        <v>2000</v>
      </c>
      <c r="D180" s="30">
        <v>2000</v>
      </c>
      <c r="E180" s="25">
        <v>8000</v>
      </c>
      <c r="F180" s="25">
        <v>5000</v>
      </c>
      <c r="G180" s="25">
        <v>10000</v>
      </c>
      <c r="H180" s="25">
        <v>5000</v>
      </c>
      <c r="I180" s="25">
        <f t="shared" si="4"/>
        <v>1250</v>
      </c>
      <c r="J180" s="25">
        <f t="shared" si="5"/>
        <v>3750</v>
      </c>
      <c r="K180" s="25">
        <v>5000</v>
      </c>
    </row>
    <row r="181" s="1" customFormat="1" spans="1:11">
      <c r="A181" s="35" t="s">
        <v>208</v>
      </c>
      <c r="B181" s="36" t="s">
        <v>204</v>
      </c>
      <c r="C181" s="23">
        <v>1000</v>
      </c>
      <c r="D181" s="30">
        <v>1000</v>
      </c>
      <c r="E181" s="25">
        <v>4000</v>
      </c>
      <c r="F181" s="25">
        <v>5000</v>
      </c>
      <c r="G181" s="25">
        <v>10000</v>
      </c>
      <c r="H181" s="25">
        <v>5000</v>
      </c>
      <c r="I181" s="25">
        <f t="shared" si="4"/>
        <v>625</v>
      </c>
      <c r="J181" s="25">
        <f t="shared" si="5"/>
        <v>1875</v>
      </c>
      <c r="K181" s="25">
        <v>2500</v>
      </c>
    </row>
    <row r="182" s="1" customFormat="1" ht="27.6" spans="1:11">
      <c r="A182" s="35" t="s">
        <v>209</v>
      </c>
      <c r="B182" s="36" t="s">
        <v>204</v>
      </c>
      <c r="C182" s="23">
        <v>4000</v>
      </c>
      <c r="D182" s="30">
        <v>3000</v>
      </c>
      <c r="E182" s="25">
        <v>16000</v>
      </c>
      <c r="F182" s="25">
        <v>5000</v>
      </c>
      <c r="G182" s="25">
        <v>10000</v>
      </c>
      <c r="H182" s="25">
        <v>5000</v>
      </c>
      <c r="I182" s="25">
        <f t="shared" si="4"/>
        <v>1875</v>
      </c>
      <c r="J182" s="25">
        <f t="shared" si="5"/>
        <v>5625</v>
      </c>
      <c r="K182" s="25">
        <v>7500</v>
      </c>
    </row>
    <row r="183" s="1" customFormat="1" ht="27.6" spans="1:11">
      <c r="A183" s="35" t="s">
        <v>210</v>
      </c>
      <c r="B183" s="36" t="s">
        <v>204</v>
      </c>
      <c r="C183" s="23">
        <v>3000</v>
      </c>
      <c r="D183" s="30">
        <v>2000</v>
      </c>
      <c r="E183" s="25">
        <v>12000</v>
      </c>
      <c r="F183" s="25">
        <v>5000</v>
      </c>
      <c r="G183" s="25">
        <v>10000</v>
      </c>
      <c r="H183" s="25">
        <v>5000</v>
      </c>
      <c r="I183" s="25">
        <f t="shared" si="4"/>
        <v>1250</v>
      </c>
      <c r="J183" s="25">
        <f t="shared" si="5"/>
        <v>3750</v>
      </c>
      <c r="K183" s="25">
        <v>5000</v>
      </c>
    </row>
    <row r="184" s="1" customFormat="1" ht="27.6" spans="1:11">
      <c r="A184" s="35" t="s">
        <v>211</v>
      </c>
      <c r="B184" s="36" t="s">
        <v>204</v>
      </c>
      <c r="C184" s="23">
        <v>2000</v>
      </c>
      <c r="D184" s="30">
        <v>1500</v>
      </c>
      <c r="E184" s="25">
        <v>8000</v>
      </c>
      <c r="F184" s="25">
        <v>5000</v>
      </c>
      <c r="G184" s="25">
        <v>10000</v>
      </c>
      <c r="H184" s="25">
        <v>5000</v>
      </c>
      <c r="I184" s="25">
        <f t="shared" si="4"/>
        <v>937.5</v>
      </c>
      <c r="J184" s="25">
        <f t="shared" si="5"/>
        <v>2812.5</v>
      </c>
      <c r="K184" s="25">
        <v>3750</v>
      </c>
    </row>
    <row r="185" s="1" customFormat="1" ht="27.6" spans="1:11">
      <c r="A185" s="35" t="s">
        <v>212</v>
      </c>
      <c r="B185" s="36" t="s">
        <v>204</v>
      </c>
      <c r="C185" s="23">
        <v>1000</v>
      </c>
      <c r="D185" s="30">
        <v>1000</v>
      </c>
      <c r="E185" s="25">
        <v>4000</v>
      </c>
      <c r="F185" s="25">
        <v>5000</v>
      </c>
      <c r="G185" s="25">
        <v>10000</v>
      </c>
      <c r="H185" s="25">
        <v>5000</v>
      </c>
      <c r="I185" s="25">
        <f t="shared" si="4"/>
        <v>625</v>
      </c>
      <c r="J185" s="25">
        <f t="shared" si="5"/>
        <v>1875</v>
      </c>
      <c r="K185" s="25">
        <v>2500</v>
      </c>
    </row>
    <row r="186" s="1" customFormat="1" spans="1:11">
      <c r="A186" s="35" t="s">
        <v>213</v>
      </c>
      <c r="B186" s="36" t="s">
        <v>160</v>
      </c>
      <c r="C186" s="23">
        <v>3000</v>
      </c>
      <c r="D186" s="30">
        <v>3000</v>
      </c>
      <c r="E186" s="25">
        <v>12000</v>
      </c>
      <c r="F186" s="25">
        <v>5000</v>
      </c>
      <c r="G186" s="25">
        <v>10000</v>
      </c>
      <c r="H186" s="25">
        <v>5000</v>
      </c>
      <c r="I186" s="25">
        <f t="shared" si="4"/>
        <v>1875</v>
      </c>
      <c r="J186" s="25">
        <f t="shared" si="5"/>
        <v>5625</v>
      </c>
      <c r="K186" s="25">
        <v>7500</v>
      </c>
    </row>
    <row r="187" s="1" customFormat="1" spans="1:11">
      <c r="A187" s="35" t="s">
        <v>214</v>
      </c>
      <c r="B187" s="36" t="s">
        <v>160</v>
      </c>
      <c r="C187" s="23">
        <v>2000</v>
      </c>
      <c r="D187" s="30">
        <v>2000</v>
      </c>
      <c r="E187" s="25">
        <v>8000</v>
      </c>
      <c r="F187" s="25">
        <v>5000</v>
      </c>
      <c r="G187" s="25">
        <v>10000</v>
      </c>
      <c r="H187" s="25">
        <v>5000</v>
      </c>
      <c r="I187" s="25">
        <f t="shared" si="4"/>
        <v>1250</v>
      </c>
      <c r="J187" s="25">
        <f t="shared" si="5"/>
        <v>3750</v>
      </c>
      <c r="K187" s="25">
        <v>5000</v>
      </c>
    </row>
    <row r="188" s="1" customFormat="1" spans="1:11">
      <c r="A188" s="35" t="s">
        <v>215</v>
      </c>
      <c r="B188" s="36" t="s">
        <v>160</v>
      </c>
      <c r="C188" s="23">
        <v>1000</v>
      </c>
      <c r="D188" s="30">
        <v>1500</v>
      </c>
      <c r="E188" s="25">
        <v>4000</v>
      </c>
      <c r="F188" s="25">
        <v>5000</v>
      </c>
      <c r="G188" s="25">
        <v>10000</v>
      </c>
      <c r="H188" s="25">
        <v>5000</v>
      </c>
      <c r="I188" s="25">
        <f t="shared" si="4"/>
        <v>937.5</v>
      </c>
      <c r="J188" s="25">
        <f t="shared" si="5"/>
        <v>2812.5</v>
      </c>
      <c r="K188" s="25">
        <v>3750</v>
      </c>
    </row>
    <row r="189" s="1" customFormat="1" spans="1:11">
      <c r="A189" s="35" t="s">
        <v>216</v>
      </c>
      <c r="B189" s="36" t="s">
        <v>217</v>
      </c>
      <c r="C189" s="23">
        <v>4000</v>
      </c>
      <c r="D189" s="30">
        <v>2000</v>
      </c>
      <c r="E189" s="25">
        <v>16000</v>
      </c>
      <c r="F189" s="25">
        <v>5000</v>
      </c>
      <c r="G189" s="25">
        <v>10000</v>
      </c>
      <c r="H189" s="25">
        <v>5000</v>
      </c>
      <c r="I189" s="25">
        <f t="shared" si="4"/>
        <v>1250</v>
      </c>
      <c r="J189" s="25">
        <f t="shared" si="5"/>
        <v>3750</v>
      </c>
      <c r="K189" s="25">
        <v>5000</v>
      </c>
    </row>
    <row r="190" s="1" customFormat="1" spans="1:11">
      <c r="A190" s="35" t="s">
        <v>218</v>
      </c>
      <c r="B190" s="36" t="s">
        <v>217</v>
      </c>
      <c r="C190" s="23">
        <v>3000</v>
      </c>
      <c r="D190" s="30">
        <v>1500</v>
      </c>
      <c r="E190" s="25">
        <v>12000</v>
      </c>
      <c r="F190" s="25">
        <v>5000</v>
      </c>
      <c r="G190" s="25">
        <v>10000</v>
      </c>
      <c r="H190" s="25">
        <v>5000</v>
      </c>
      <c r="I190" s="25">
        <f t="shared" si="4"/>
        <v>937.5</v>
      </c>
      <c r="J190" s="25">
        <f t="shared" si="5"/>
        <v>2812.5</v>
      </c>
      <c r="K190" s="25">
        <v>3750</v>
      </c>
    </row>
    <row r="191" s="1" customFormat="1" spans="1:11">
      <c r="A191" s="35" t="s">
        <v>219</v>
      </c>
      <c r="B191" s="36" t="s">
        <v>217</v>
      </c>
      <c r="C191" s="23">
        <v>2000</v>
      </c>
      <c r="D191" s="30">
        <v>1000</v>
      </c>
      <c r="E191" s="25">
        <v>8000</v>
      </c>
      <c r="F191" s="25">
        <v>5000</v>
      </c>
      <c r="G191" s="25">
        <v>10000</v>
      </c>
      <c r="H191" s="25">
        <v>5000</v>
      </c>
      <c r="I191" s="25">
        <f t="shared" si="4"/>
        <v>625</v>
      </c>
      <c r="J191" s="25">
        <f t="shared" si="5"/>
        <v>1875</v>
      </c>
      <c r="K191" s="25">
        <v>2500</v>
      </c>
    </row>
    <row r="192" s="1" customFormat="1" spans="1:11">
      <c r="A192" s="35" t="s">
        <v>220</v>
      </c>
      <c r="B192" s="36" t="s">
        <v>217</v>
      </c>
      <c r="C192" s="23">
        <v>1000</v>
      </c>
      <c r="D192" s="30">
        <v>1000</v>
      </c>
      <c r="E192" s="25">
        <v>4000</v>
      </c>
      <c r="F192" s="25">
        <v>5000</v>
      </c>
      <c r="G192" s="25">
        <v>10000</v>
      </c>
      <c r="H192" s="25">
        <v>5000</v>
      </c>
      <c r="I192" s="25">
        <f t="shared" si="4"/>
        <v>625</v>
      </c>
      <c r="J192" s="25">
        <f t="shared" si="5"/>
        <v>1875</v>
      </c>
      <c r="K192" s="25">
        <v>2500</v>
      </c>
    </row>
    <row r="193" s="1" customFormat="1" spans="1:11 16351:16383">
      <c r="A193" s="35" t="s">
        <v>221</v>
      </c>
      <c r="B193" s="36" t="s">
        <v>204</v>
      </c>
      <c r="C193" s="23">
        <v>3000</v>
      </c>
      <c r="D193" s="30">
        <v>3000</v>
      </c>
      <c r="E193" s="25">
        <v>12000</v>
      </c>
      <c r="F193" s="25">
        <v>5000</v>
      </c>
      <c r="G193" s="25">
        <v>10000</v>
      </c>
      <c r="H193" s="25">
        <v>5000</v>
      </c>
      <c r="I193" s="25">
        <f t="shared" si="4"/>
        <v>1875</v>
      </c>
      <c r="J193" s="25">
        <f t="shared" si="5"/>
        <v>5625</v>
      </c>
      <c r="K193" s="25">
        <v>7500</v>
      </c>
    </row>
    <row r="194" s="1" customFormat="1" spans="1:11 16351:16383">
      <c r="A194" s="35" t="s">
        <v>222</v>
      </c>
      <c r="B194" s="36" t="s">
        <v>204</v>
      </c>
      <c r="C194" s="23">
        <v>2000</v>
      </c>
      <c r="D194" s="30">
        <v>2000</v>
      </c>
      <c r="E194" s="25">
        <v>8000</v>
      </c>
      <c r="F194" s="25">
        <v>5000</v>
      </c>
      <c r="G194" s="25">
        <v>10000</v>
      </c>
      <c r="H194" s="25">
        <v>5000</v>
      </c>
      <c r="I194" s="25">
        <f t="shared" si="4"/>
        <v>1250</v>
      </c>
      <c r="J194" s="25">
        <f t="shared" si="5"/>
        <v>3750</v>
      </c>
      <c r="K194" s="25">
        <v>5000</v>
      </c>
    </row>
    <row r="195" s="1" customFormat="1" spans="1:11 16351:16383">
      <c r="A195" s="35" t="s">
        <v>223</v>
      </c>
      <c r="B195" s="36" t="s">
        <v>204</v>
      </c>
      <c r="C195" s="23">
        <v>1000</v>
      </c>
      <c r="D195" s="30">
        <v>1500</v>
      </c>
      <c r="E195" s="25">
        <v>4000</v>
      </c>
      <c r="F195" s="25">
        <v>5000</v>
      </c>
      <c r="G195" s="25">
        <v>10000</v>
      </c>
      <c r="H195" s="25">
        <v>5000</v>
      </c>
      <c r="I195" s="25">
        <f t="shared" si="4"/>
        <v>937.5</v>
      </c>
      <c r="J195" s="25">
        <f t="shared" si="5"/>
        <v>2812.5</v>
      </c>
      <c r="K195" s="25">
        <v>3750</v>
      </c>
    </row>
    <row r="196" s="1" customFormat="1" spans="1:11 16351:16383">
      <c r="A196" s="35" t="s">
        <v>224</v>
      </c>
      <c r="B196" s="36" t="s">
        <v>204</v>
      </c>
      <c r="C196" s="23">
        <v>3000</v>
      </c>
      <c r="D196" s="30">
        <v>3000</v>
      </c>
      <c r="E196" s="25">
        <v>12000</v>
      </c>
      <c r="F196" s="25">
        <v>5000</v>
      </c>
      <c r="G196" s="25">
        <v>10000</v>
      </c>
      <c r="H196" s="25">
        <v>5000</v>
      </c>
      <c r="I196" s="25">
        <f t="shared" si="4"/>
        <v>1875</v>
      </c>
      <c r="J196" s="25">
        <f t="shared" si="5"/>
        <v>5625</v>
      </c>
      <c r="K196" s="25">
        <v>7500</v>
      </c>
    </row>
    <row r="197" s="1" customFormat="1" spans="1:11 16351:16383">
      <c r="A197" s="35" t="s">
        <v>225</v>
      </c>
      <c r="B197" s="36" t="s">
        <v>204</v>
      </c>
      <c r="C197" s="23">
        <v>2000</v>
      </c>
      <c r="D197" s="30">
        <v>2000</v>
      </c>
      <c r="E197" s="25">
        <v>8000</v>
      </c>
      <c r="F197" s="25">
        <v>5000</v>
      </c>
      <c r="G197" s="25">
        <v>10000</v>
      </c>
      <c r="H197" s="25">
        <v>5000</v>
      </c>
      <c r="I197" s="25">
        <f t="shared" si="4"/>
        <v>1250</v>
      </c>
      <c r="J197" s="25">
        <f t="shared" si="5"/>
        <v>3750</v>
      </c>
      <c r="K197" s="25">
        <v>5000</v>
      </c>
    </row>
    <row r="198" s="1" customFormat="1" spans="1:11 16351:16383">
      <c r="A198" s="35" t="s">
        <v>226</v>
      </c>
      <c r="B198" s="36" t="s">
        <v>204</v>
      </c>
      <c r="C198" s="23">
        <v>1000</v>
      </c>
      <c r="D198" s="30">
        <v>1500</v>
      </c>
      <c r="E198" s="25">
        <v>4000</v>
      </c>
      <c r="F198" s="25">
        <v>5000</v>
      </c>
      <c r="G198" s="25">
        <v>10000</v>
      </c>
      <c r="H198" s="25">
        <v>5000</v>
      </c>
      <c r="I198" s="25">
        <f t="shared" si="4"/>
        <v>937.5</v>
      </c>
      <c r="J198" s="25">
        <f t="shared" si="5"/>
        <v>2812.5</v>
      </c>
      <c r="K198" s="25">
        <v>3750</v>
      </c>
    </row>
    <row r="199" s="1" customFormat="1" spans="1:11 16351:16383">
      <c r="A199" s="35" t="s">
        <v>227</v>
      </c>
      <c r="B199" s="36" t="s">
        <v>160</v>
      </c>
      <c r="C199" s="23">
        <v>3000</v>
      </c>
      <c r="D199" s="30">
        <v>3000</v>
      </c>
      <c r="E199" s="25">
        <v>12000</v>
      </c>
      <c r="F199" s="25">
        <v>5000</v>
      </c>
      <c r="G199" s="25">
        <v>10000</v>
      </c>
      <c r="H199" s="25">
        <v>5000</v>
      </c>
      <c r="I199" s="25">
        <f t="shared" si="4"/>
        <v>1875</v>
      </c>
      <c r="J199" s="25">
        <f t="shared" si="5"/>
        <v>5625</v>
      </c>
      <c r="K199" s="25">
        <v>7500</v>
      </c>
    </row>
    <row r="200" s="1" customFormat="1" spans="1:11 16351:16383">
      <c r="A200" s="35" t="s">
        <v>228</v>
      </c>
      <c r="B200" s="36" t="s">
        <v>160</v>
      </c>
      <c r="C200" s="23">
        <v>2000</v>
      </c>
      <c r="D200" s="30">
        <v>2000</v>
      </c>
      <c r="E200" s="25">
        <v>8000</v>
      </c>
      <c r="F200" s="25">
        <v>5000</v>
      </c>
      <c r="G200" s="25">
        <v>10000</v>
      </c>
      <c r="H200" s="25">
        <v>5000</v>
      </c>
      <c r="I200" s="25">
        <f t="shared" ref="I200:I263" si="6">K200*0.25</f>
        <v>1250</v>
      </c>
      <c r="J200" s="25">
        <f t="shared" ref="J200:J263" si="7">K200*0.75</f>
        <v>3750</v>
      </c>
      <c r="K200" s="25">
        <v>5000</v>
      </c>
    </row>
    <row r="201" s="1" customFormat="1" spans="1:11 16351:16383">
      <c r="A201" s="35" t="s">
        <v>229</v>
      </c>
      <c r="B201" s="36" t="s">
        <v>160</v>
      </c>
      <c r="C201" s="23">
        <v>1000</v>
      </c>
      <c r="D201" s="30">
        <v>1500</v>
      </c>
      <c r="E201" s="25">
        <v>4000</v>
      </c>
      <c r="F201" s="25">
        <v>5000</v>
      </c>
      <c r="G201" s="25">
        <v>10000</v>
      </c>
      <c r="H201" s="25">
        <v>5000</v>
      </c>
      <c r="I201" s="25">
        <f t="shared" si="6"/>
        <v>937.5</v>
      </c>
      <c r="J201" s="25">
        <f t="shared" si="7"/>
        <v>2812.5</v>
      </c>
      <c r="K201" s="25">
        <v>3750</v>
      </c>
    </row>
    <row r="202" s="1" customFormat="1" spans="1:11 16351:16383">
      <c r="A202" s="37" t="s">
        <v>230</v>
      </c>
      <c r="B202" s="36" t="s">
        <v>160</v>
      </c>
      <c r="C202" s="23">
        <v>3000</v>
      </c>
      <c r="D202" s="30">
        <v>3000</v>
      </c>
      <c r="E202" s="25">
        <v>12000</v>
      </c>
      <c r="F202" s="25">
        <v>5000</v>
      </c>
      <c r="G202" s="25">
        <v>10000</v>
      </c>
      <c r="H202" s="25">
        <v>5000</v>
      </c>
      <c r="I202" s="25">
        <f t="shared" si="6"/>
        <v>1875</v>
      </c>
      <c r="J202" s="25">
        <f t="shared" si="7"/>
        <v>5625</v>
      </c>
      <c r="K202" s="25">
        <v>7500</v>
      </c>
    </row>
    <row r="203" s="1" customFormat="1" spans="1:11 16351:16383">
      <c r="A203" s="37" t="s">
        <v>231</v>
      </c>
      <c r="B203" s="36" t="s">
        <v>160</v>
      </c>
      <c r="C203" s="23">
        <v>2000</v>
      </c>
      <c r="D203" s="30">
        <v>2000</v>
      </c>
      <c r="E203" s="25">
        <v>8000</v>
      </c>
      <c r="F203" s="25">
        <v>5000</v>
      </c>
      <c r="G203" s="25">
        <v>10000</v>
      </c>
      <c r="H203" s="25">
        <v>5000</v>
      </c>
      <c r="I203" s="25">
        <f t="shared" si="6"/>
        <v>1250</v>
      </c>
      <c r="J203" s="25">
        <f t="shared" si="7"/>
        <v>3750</v>
      </c>
      <c r="K203" s="25">
        <v>5000</v>
      </c>
    </row>
    <row r="204" s="1" customFormat="1" spans="1:11 16351:16383">
      <c r="A204" s="37" t="s">
        <v>232</v>
      </c>
      <c r="B204" s="36" t="s">
        <v>160</v>
      </c>
      <c r="C204" s="23">
        <v>1000</v>
      </c>
      <c r="D204" s="30">
        <v>1500</v>
      </c>
      <c r="E204" s="25">
        <v>4000</v>
      </c>
      <c r="F204" s="25">
        <v>5000</v>
      </c>
      <c r="G204" s="25">
        <v>10000</v>
      </c>
      <c r="H204" s="25">
        <v>5000</v>
      </c>
      <c r="I204" s="25">
        <f t="shared" si="6"/>
        <v>937.5</v>
      </c>
      <c r="J204" s="25">
        <f t="shared" si="7"/>
        <v>2812.5</v>
      </c>
      <c r="K204" s="25">
        <v>3750</v>
      </c>
    </row>
    <row r="205" s="1" customFormat="1" spans="1:11 16351:16383">
      <c r="A205" s="31" t="s">
        <v>233</v>
      </c>
      <c r="B205" s="31"/>
      <c r="C205" s="31"/>
      <c r="D205" s="31"/>
      <c r="E205" s="31"/>
      <c r="F205" s="31"/>
      <c r="G205" s="31"/>
      <c r="H205" s="31"/>
      <c r="I205" s="25">
        <f t="shared" si="6"/>
        <v>0</v>
      </c>
      <c r="J205" s="25">
        <f t="shared" si="7"/>
        <v>0</v>
      </c>
      <c r="K205" s="32"/>
      <c r="XDW205" s="4"/>
      <c r="XDX205" s="4"/>
      <c r="XDY205" s="4"/>
      <c r="XDZ205" s="4"/>
      <c r="XEA205" s="4"/>
      <c r="XEB205" s="4"/>
      <c r="XEC205" s="4"/>
      <c r="XED205" s="4"/>
      <c r="XEE205" s="4"/>
      <c r="XEF205" s="4"/>
      <c r="XEG205" s="4"/>
      <c r="XEH205" s="4"/>
      <c r="XEI205" s="4"/>
      <c r="XEJ205" s="4"/>
      <c r="XEK205" s="4"/>
      <c r="XEL205" s="4"/>
      <c r="XEM205" s="4"/>
      <c r="XEN205" s="4"/>
      <c r="XEO205" s="4"/>
      <c r="XEP205" s="4"/>
      <c r="XEQ205" s="4"/>
      <c r="XER205" s="4"/>
      <c r="XES205" s="4"/>
      <c r="XET205" s="4"/>
      <c r="XEU205" s="4"/>
      <c r="XEV205" s="4"/>
      <c r="XEW205" s="4"/>
      <c r="XEX205" s="4"/>
      <c r="XEY205" s="4"/>
      <c r="XEZ205" s="4"/>
      <c r="XFA205" s="4"/>
      <c r="XFB205" s="4"/>
      <c r="XFC205" s="4"/>
    </row>
    <row r="206" s="1" customFormat="1" spans="1:11 16351:16383">
      <c r="A206" s="19" t="s">
        <v>234</v>
      </c>
      <c r="B206" s="19"/>
      <c r="C206" s="19"/>
      <c r="D206" s="19"/>
      <c r="E206" s="19"/>
      <c r="F206" s="19"/>
      <c r="G206" s="19"/>
      <c r="H206" s="19"/>
      <c r="I206" s="25">
        <f t="shared" si="6"/>
        <v>0</v>
      </c>
      <c r="J206" s="25">
        <f t="shared" si="7"/>
        <v>0</v>
      </c>
      <c r="K206" s="33"/>
      <c r="XDW206" s="4"/>
      <c r="XDX206" s="4"/>
      <c r="XDY206" s="4"/>
      <c r="XDZ206" s="4"/>
      <c r="XEA206" s="4"/>
      <c r="XEB206" s="4"/>
      <c r="XEC206" s="4"/>
      <c r="XED206" s="4"/>
      <c r="XEE206" s="4"/>
      <c r="XEF206" s="4"/>
      <c r="XEG206" s="4"/>
      <c r="XEH206" s="4"/>
      <c r="XEI206" s="4"/>
      <c r="XEJ206" s="4"/>
      <c r="XEK206" s="4"/>
      <c r="XEL206" s="4"/>
      <c r="XEM206" s="4"/>
      <c r="XEN206" s="4"/>
      <c r="XEO206" s="4"/>
      <c r="XEP206" s="4"/>
      <c r="XEQ206" s="4"/>
      <c r="XER206" s="4"/>
      <c r="XES206" s="4"/>
      <c r="XET206" s="4"/>
      <c r="XEU206" s="4"/>
      <c r="XEV206" s="4"/>
      <c r="XEW206" s="4"/>
      <c r="XEX206" s="4"/>
      <c r="XEY206" s="4"/>
      <c r="XEZ206" s="4"/>
      <c r="XFA206" s="4"/>
      <c r="XFB206" s="4"/>
      <c r="XFC206" s="4"/>
    </row>
    <row r="207" s="1" customFormat="1" ht="27.6" spans="1:11 16351:16383">
      <c r="A207" s="35" t="s">
        <v>235</v>
      </c>
      <c r="B207" s="36" t="s">
        <v>160</v>
      </c>
      <c r="C207" s="23">
        <v>4000</v>
      </c>
      <c r="D207" s="30">
        <v>3000</v>
      </c>
      <c r="E207" s="25">
        <v>16000</v>
      </c>
      <c r="F207" s="25">
        <v>5000</v>
      </c>
      <c r="G207" s="25">
        <v>10000</v>
      </c>
      <c r="H207" s="25">
        <v>5000</v>
      </c>
      <c r="I207" s="25">
        <f t="shared" si="6"/>
        <v>1875</v>
      </c>
      <c r="J207" s="25">
        <f t="shared" si="7"/>
        <v>5625</v>
      </c>
      <c r="K207" s="25">
        <v>7500</v>
      </c>
    </row>
    <row r="208" s="1" customFormat="1" ht="27.6" spans="1:11 16351:16383">
      <c r="A208" s="35" t="s">
        <v>236</v>
      </c>
      <c r="B208" s="36" t="s">
        <v>160</v>
      </c>
      <c r="C208" s="23">
        <v>3000</v>
      </c>
      <c r="D208" s="30">
        <v>2000</v>
      </c>
      <c r="E208" s="25">
        <v>12000</v>
      </c>
      <c r="F208" s="25">
        <v>5000</v>
      </c>
      <c r="G208" s="25">
        <v>10000</v>
      </c>
      <c r="H208" s="25">
        <v>5000</v>
      </c>
      <c r="I208" s="25">
        <f t="shared" si="6"/>
        <v>1250</v>
      </c>
      <c r="J208" s="25">
        <f t="shared" si="7"/>
        <v>3750</v>
      </c>
      <c r="K208" s="25">
        <v>5000</v>
      </c>
    </row>
    <row r="209" s="1" customFormat="1" ht="27.6" spans="1:11">
      <c r="A209" s="35" t="s">
        <v>237</v>
      </c>
      <c r="B209" s="36" t="s">
        <v>160</v>
      </c>
      <c r="C209" s="23">
        <v>2000</v>
      </c>
      <c r="D209" s="30">
        <v>1500</v>
      </c>
      <c r="E209" s="25">
        <v>8000</v>
      </c>
      <c r="F209" s="25">
        <v>5000</v>
      </c>
      <c r="G209" s="25">
        <v>10000</v>
      </c>
      <c r="H209" s="25">
        <v>5000</v>
      </c>
      <c r="I209" s="25">
        <f t="shared" si="6"/>
        <v>937.5</v>
      </c>
      <c r="J209" s="25">
        <f t="shared" si="7"/>
        <v>2812.5</v>
      </c>
      <c r="K209" s="25">
        <v>3750</v>
      </c>
    </row>
    <row r="210" s="1" customFormat="1" ht="27.6" spans="1:11">
      <c r="A210" s="35" t="s">
        <v>238</v>
      </c>
      <c r="B210" s="36" t="s">
        <v>160</v>
      </c>
      <c r="C210" s="23">
        <v>1000</v>
      </c>
      <c r="D210" s="30">
        <v>1000</v>
      </c>
      <c r="E210" s="25">
        <v>4000</v>
      </c>
      <c r="F210" s="25">
        <v>5000</v>
      </c>
      <c r="G210" s="25">
        <v>10000</v>
      </c>
      <c r="H210" s="25">
        <v>5000</v>
      </c>
      <c r="I210" s="25">
        <f t="shared" si="6"/>
        <v>625</v>
      </c>
      <c r="J210" s="25">
        <f t="shared" si="7"/>
        <v>1875</v>
      </c>
      <c r="K210" s="25">
        <v>2500</v>
      </c>
    </row>
    <row r="211" s="1" customFormat="1" ht="27.6" spans="1:11">
      <c r="A211" s="35" t="s">
        <v>239</v>
      </c>
      <c r="B211" s="36" t="s">
        <v>160</v>
      </c>
      <c r="C211" s="23">
        <v>500</v>
      </c>
      <c r="D211" s="30">
        <v>500</v>
      </c>
      <c r="E211" s="25">
        <v>2000</v>
      </c>
      <c r="F211" s="25">
        <v>5000</v>
      </c>
      <c r="G211" s="25">
        <v>10000</v>
      </c>
      <c r="H211" s="25">
        <v>5000</v>
      </c>
      <c r="I211" s="25">
        <f t="shared" si="6"/>
        <v>312.5</v>
      </c>
      <c r="J211" s="25">
        <f t="shared" si="7"/>
        <v>937.5</v>
      </c>
      <c r="K211" s="25">
        <v>1250</v>
      </c>
    </row>
    <row r="212" s="1" customFormat="1" ht="27.6" spans="1:11">
      <c r="A212" s="35" t="s">
        <v>240</v>
      </c>
      <c r="B212" s="36" t="s">
        <v>160</v>
      </c>
      <c r="C212" s="23">
        <v>3000</v>
      </c>
      <c r="D212" s="30">
        <v>3000</v>
      </c>
      <c r="E212" s="25">
        <v>12000</v>
      </c>
      <c r="F212" s="25">
        <v>5000</v>
      </c>
      <c r="G212" s="25">
        <v>10000</v>
      </c>
      <c r="H212" s="25">
        <v>5000</v>
      </c>
      <c r="I212" s="25">
        <f t="shared" si="6"/>
        <v>1875</v>
      </c>
      <c r="J212" s="25">
        <f t="shared" si="7"/>
        <v>5625</v>
      </c>
      <c r="K212" s="25">
        <v>7500</v>
      </c>
    </row>
    <row r="213" s="1" customFormat="1" ht="27.6" spans="1:11">
      <c r="A213" s="35" t="s">
        <v>241</v>
      </c>
      <c r="B213" s="36" t="s">
        <v>160</v>
      </c>
      <c r="C213" s="23">
        <v>2000</v>
      </c>
      <c r="D213" s="30">
        <v>2000</v>
      </c>
      <c r="E213" s="25">
        <v>8000</v>
      </c>
      <c r="F213" s="25">
        <v>5000</v>
      </c>
      <c r="G213" s="25">
        <v>10000</v>
      </c>
      <c r="H213" s="25">
        <v>5000</v>
      </c>
      <c r="I213" s="25">
        <f t="shared" si="6"/>
        <v>1250</v>
      </c>
      <c r="J213" s="25">
        <f t="shared" si="7"/>
        <v>3750</v>
      </c>
      <c r="K213" s="25">
        <v>5000</v>
      </c>
    </row>
    <row r="214" s="1" customFormat="1" ht="27.6" spans="1:11">
      <c r="A214" s="35" t="s">
        <v>242</v>
      </c>
      <c r="B214" s="36" t="s">
        <v>160</v>
      </c>
      <c r="C214" s="23">
        <v>1000</v>
      </c>
      <c r="D214" s="30">
        <v>1500</v>
      </c>
      <c r="E214" s="25">
        <v>4000</v>
      </c>
      <c r="F214" s="25">
        <v>5000</v>
      </c>
      <c r="G214" s="25">
        <v>10000</v>
      </c>
      <c r="H214" s="25">
        <v>5000</v>
      </c>
      <c r="I214" s="25">
        <f t="shared" si="6"/>
        <v>937.5</v>
      </c>
      <c r="J214" s="25">
        <f t="shared" si="7"/>
        <v>2812.5</v>
      </c>
      <c r="K214" s="25">
        <v>3750</v>
      </c>
    </row>
    <row r="215" s="1" customFormat="1" ht="27.6" spans="1:11">
      <c r="A215" s="35" t="s">
        <v>243</v>
      </c>
      <c r="B215" s="36" t="s">
        <v>160</v>
      </c>
      <c r="C215" s="23">
        <v>500</v>
      </c>
      <c r="D215" s="30">
        <v>500</v>
      </c>
      <c r="E215" s="25">
        <v>2000</v>
      </c>
      <c r="F215" s="25">
        <v>5000</v>
      </c>
      <c r="G215" s="25">
        <v>10000</v>
      </c>
      <c r="H215" s="25">
        <v>5000</v>
      </c>
      <c r="I215" s="25">
        <f t="shared" si="6"/>
        <v>312.5</v>
      </c>
      <c r="J215" s="25">
        <f t="shared" si="7"/>
        <v>937.5</v>
      </c>
      <c r="K215" s="25">
        <v>1250</v>
      </c>
    </row>
    <row r="216" s="1" customFormat="1" spans="1:11">
      <c r="A216" s="35" t="s">
        <v>244</v>
      </c>
      <c r="B216" s="36" t="s">
        <v>245</v>
      </c>
      <c r="C216" s="23">
        <v>3000</v>
      </c>
      <c r="D216" s="30">
        <v>3000</v>
      </c>
      <c r="E216" s="25">
        <v>12000</v>
      </c>
      <c r="F216" s="25">
        <v>5000</v>
      </c>
      <c r="G216" s="25">
        <v>10000</v>
      </c>
      <c r="H216" s="25">
        <v>5000</v>
      </c>
      <c r="I216" s="25">
        <f t="shared" si="6"/>
        <v>1875</v>
      </c>
      <c r="J216" s="25">
        <f t="shared" si="7"/>
        <v>5625</v>
      </c>
      <c r="K216" s="25">
        <v>7500</v>
      </c>
    </row>
    <row r="217" s="1" customFormat="1" spans="1:11">
      <c r="A217" s="35" t="s">
        <v>246</v>
      </c>
      <c r="B217" s="36" t="s">
        <v>245</v>
      </c>
      <c r="C217" s="23">
        <v>2000</v>
      </c>
      <c r="D217" s="30">
        <v>2000</v>
      </c>
      <c r="E217" s="25">
        <v>8000</v>
      </c>
      <c r="F217" s="25">
        <v>5000</v>
      </c>
      <c r="G217" s="25">
        <v>10000</v>
      </c>
      <c r="H217" s="25">
        <v>5000</v>
      </c>
      <c r="I217" s="25">
        <f t="shared" si="6"/>
        <v>1250</v>
      </c>
      <c r="J217" s="25">
        <f t="shared" si="7"/>
        <v>3750</v>
      </c>
      <c r="K217" s="25">
        <v>5000</v>
      </c>
    </row>
    <row r="218" s="1" customFormat="1" spans="1:11">
      <c r="A218" s="35" t="s">
        <v>247</v>
      </c>
      <c r="B218" s="36" t="s">
        <v>245</v>
      </c>
      <c r="C218" s="23">
        <v>1000</v>
      </c>
      <c r="D218" s="30">
        <v>1500</v>
      </c>
      <c r="E218" s="25">
        <v>4000</v>
      </c>
      <c r="F218" s="25">
        <v>5000</v>
      </c>
      <c r="G218" s="25">
        <v>10000</v>
      </c>
      <c r="H218" s="25">
        <v>5000</v>
      </c>
      <c r="I218" s="25">
        <f t="shared" si="6"/>
        <v>937.5</v>
      </c>
      <c r="J218" s="25">
        <f t="shared" si="7"/>
        <v>2812.5</v>
      </c>
      <c r="K218" s="25">
        <v>3750</v>
      </c>
    </row>
    <row r="219" s="1" customFormat="1" spans="1:11">
      <c r="A219" s="35" t="s">
        <v>248</v>
      </c>
      <c r="B219" s="36" t="s">
        <v>249</v>
      </c>
      <c r="C219" s="36"/>
      <c r="D219" s="30">
        <v>500</v>
      </c>
      <c r="E219" s="25">
        <v>0</v>
      </c>
      <c r="F219" s="25">
        <v>5000</v>
      </c>
      <c r="G219" s="25">
        <v>10000</v>
      </c>
      <c r="H219" s="25">
        <v>5000</v>
      </c>
      <c r="I219" s="25">
        <f t="shared" si="6"/>
        <v>312.5</v>
      </c>
      <c r="J219" s="25">
        <f t="shared" si="7"/>
        <v>937.5</v>
      </c>
      <c r="K219" s="25">
        <v>1250</v>
      </c>
    </row>
    <row r="220" s="1" customFormat="1" spans="1:11">
      <c r="A220" s="35" t="s">
        <v>250</v>
      </c>
      <c r="B220" s="36" t="s">
        <v>249</v>
      </c>
      <c r="C220" s="36"/>
      <c r="D220" s="30">
        <v>500</v>
      </c>
      <c r="E220" s="25">
        <v>0</v>
      </c>
      <c r="F220" s="25">
        <v>5000</v>
      </c>
      <c r="G220" s="25">
        <v>10000</v>
      </c>
      <c r="H220" s="25">
        <v>5000</v>
      </c>
      <c r="I220" s="25">
        <f t="shared" si="6"/>
        <v>312.5</v>
      </c>
      <c r="J220" s="25">
        <f t="shared" si="7"/>
        <v>937.5</v>
      </c>
      <c r="K220" s="25">
        <v>1250</v>
      </c>
    </row>
    <row r="221" s="1" customFormat="1" spans="1:11">
      <c r="A221" s="35" t="s">
        <v>251</v>
      </c>
      <c r="B221" s="36" t="s">
        <v>249</v>
      </c>
      <c r="C221" s="36"/>
      <c r="D221" s="30">
        <v>500</v>
      </c>
      <c r="E221" s="25">
        <v>0</v>
      </c>
      <c r="F221" s="25">
        <v>5000</v>
      </c>
      <c r="G221" s="25">
        <v>10000</v>
      </c>
      <c r="H221" s="25">
        <v>5000</v>
      </c>
      <c r="I221" s="25">
        <f t="shared" si="6"/>
        <v>312.5</v>
      </c>
      <c r="J221" s="25">
        <f t="shared" si="7"/>
        <v>937.5</v>
      </c>
      <c r="K221" s="25">
        <v>1250</v>
      </c>
    </row>
    <row r="222" s="1" customFormat="1" spans="1:11">
      <c r="A222" s="35" t="s">
        <v>252</v>
      </c>
      <c r="B222" s="36" t="s">
        <v>253</v>
      </c>
      <c r="C222" s="23">
        <v>3000</v>
      </c>
      <c r="D222" s="30">
        <v>3000</v>
      </c>
      <c r="E222" s="25">
        <v>12000</v>
      </c>
      <c r="F222" s="25">
        <v>5000</v>
      </c>
      <c r="G222" s="25">
        <v>10000</v>
      </c>
      <c r="H222" s="25">
        <v>5000</v>
      </c>
      <c r="I222" s="25">
        <f t="shared" si="6"/>
        <v>1875</v>
      </c>
      <c r="J222" s="25">
        <f t="shared" si="7"/>
        <v>5625</v>
      </c>
      <c r="K222" s="25">
        <v>7500</v>
      </c>
    </row>
    <row r="223" s="1" customFormat="1" spans="1:11">
      <c r="A223" s="35" t="s">
        <v>254</v>
      </c>
      <c r="B223" s="36" t="s">
        <v>253</v>
      </c>
      <c r="C223" s="23">
        <v>2000</v>
      </c>
      <c r="D223" s="30">
        <v>2000</v>
      </c>
      <c r="E223" s="25">
        <v>8000</v>
      </c>
      <c r="F223" s="25">
        <v>5000</v>
      </c>
      <c r="G223" s="25">
        <v>10000</v>
      </c>
      <c r="H223" s="25">
        <v>5000</v>
      </c>
      <c r="I223" s="25">
        <f t="shared" si="6"/>
        <v>1250</v>
      </c>
      <c r="J223" s="25">
        <f t="shared" si="7"/>
        <v>3750</v>
      </c>
      <c r="K223" s="25">
        <v>5000</v>
      </c>
    </row>
    <row r="224" s="1" customFormat="1" spans="1:11">
      <c r="A224" s="35" t="s">
        <v>255</v>
      </c>
      <c r="B224" s="36" t="s">
        <v>253</v>
      </c>
      <c r="C224" s="23">
        <v>1000</v>
      </c>
      <c r="D224" s="30">
        <v>1500</v>
      </c>
      <c r="E224" s="25">
        <v>4000</v>
      </c>
      <c r="F224" s="25">
        <v>5000</v>
      </c>
      <c r="G224" s="25">
        <v>10000</v>
      </c>
      <c r="H224" s="25">
        <v>5000</v>
      </c>
      <c r="I224" s="25">
        <f t="shared" si="6"/>
        <v>937.5</v>
      </c>
      <c r="J224" s="25">
        <f t="shared" si="7"/>
        <v>2812.5</v>
      </c>
      <c r="K224" s="25">
        <v>3750</v>
      </c>
    </row>
    <row r="225" s="1" customFormat="1" spans="1:11 16351:16383">
      <c r="A225" s="35" t="s">
        <v>256</v>
      </c>
      <c r="B225" s="36" t="s">
        <v>257</v>
      </c>
      <c r="C225" s="23">
        <v>3000</v>
      </c>
      <c r="D225" s="30">
        <v>3000</v>
      </c>
      <c r="E225" s="25">
        <v>12000</v>
      </c>
      <c r="F225" s="25">
        <v>5000</v>
      </c>
      <c r="G225" s="25">
        <v>10000</v>
      </c>
      <c r="H225" s="25">
        <v>5000</v>
      </c>
      <c r="I225" s="25">
        <f t="shared" si="6"/>
        <v>1875</v>
      </c>
      <c r="J225" s="25">
        <f t="shared" si="7"/>
        <v>5625</v>
      </c>
      <c r="K225" s="25">
        <v>7500</v>
      </c>
    </row>
    <row r="226" s="1" customFormat="1" spans="1:11 16351:16383">
      <c r="A226" s="35" t="s">
        <v>258</v>
      </c>
      <c r="B226" s="36" t="s">
        <v>257</v>
      </c>
      <c r="C226" s="23">
        <v>2000</v>
      </c>
      <c r="D226" s="30">
        <v>2000</v>
      </c>
      <c r="E226" s="25">
        <v>8000</v>
      </c>
      <c r="F226" s="25">
        <v>5000</v>
      </c>
      <c r="G226" s="25">
        <v>10000</v>
      </c>
      <c r="H226" s="25">
        <v>5000</v>
      </c>
      <c r="I226" s="25">
        <f t="shared" si="6"/>
        <v>1250</v>
      </c>
      <c r="J226" s="25">
        <f t="shared" si="7"/>
        <v>3750</v>
      </c>
      <c r="K226" s="25">
        <v>5000</v>
      </c>
    </row>
    <row r="227" s="1" customFormat="1" spans="1:11 16351:16383">
      <c r="A227" s="35" t="s">
        <v>259</v>
      </c>
      <c r="B227" s="36" t="s">
        <v>257</v>
      </c>
      <c r="C227" s="23">
        <v>1000</v>
      </c>
      <c r="D227" s="30">
        <v>1000</v>
      </c>
      <c r="E227" s="25">
        <v>4000</v>
      </c>
      <c r="F227" s="25">
        <v>5000</v>
      </c>
      <c r="G227" s="25">
        <v>10000</v>
      </c>
      <c r="H227" s="25">
        <v>5000</v>
      </c>
      <c r="I227" s="25">
        <f t="shared" si="6"/>
        <v>625</v>
      </c>
      <c r="J227" s="25">
        <f t="shared" si="7"/>
        <v>1875</v>
      </c>
      <c r="K227" s="25">
        <v>2500</v>
      </c>
    </row>
    <row r="228" s="1" customFormat="1" spans="1:11 16351:16383">
      <c r="A228" s="31" t="s">
        <v>260</v>
      </c>
      <c r="B228" s="31"/>
      <c r="C228" s="31"/>
      <c r="D228" s="31"/>
      <c r="E228" s="31"/>
      <c r="F228" s="31"/>
      <c r="G228" s="31"/>
      <c r="H228" s="31"/>
      <c r="I228" s="25">
        <f t="shared" si="6"/>
        <v>0</v>
      </c>
      <c r="J228" s="25">
        <f t="shared" si="7"/>
        <v>0</v>
      </c>
      <c r="K228" s="32"/>
      <c r="XDW228" s="4"/>
      <c r="XDX228" s="4"/>
      <c r="XDY228" s="4"/>
      <c r="XDZ228" s="4"/>
      <c r="XEA228" s="4"/>
      <c r="XEB228" s="4"/>
      <c r="XEC228" s="4"/>
      <c r="XED228" s="4"/>
      <c r="XEE228" s="4"/>
      <c r="XEF228" s="4"/>
      <c r="XEG228" s="4"/>
      <c r="XEH228" s="4"/>
      <c r="XEI228" s="4"/>
      <c r="XEJ228" s="4"/>
      <c r="XEK228" s="4"/>
      <c r="XEL228" s="4"/>
      <c r="XEM228" s="4"/>
      <c r="XEN228" s="4"/>
      <c r="XEO228" s="4"/>
      <c r="XEP228" s="4"/>
      <c r="XEQ228" s="4"/>
      <c r="XER228" s="4"/>
      <c r="XES228" s="4"/>
      <c r="XET228" s="4"/>
      <c r="XEU228" s="4"/>
      <c r="XEV228" s="4"/>
      <c r="XEW228" s="4"/>
      <c r="XEX228" s="4"/>
      <c r="XEY228" s="4"/>
      <c r="XEZ228" s="4"/>
      <c r="XFA228" s="4"/>
      <c r="XFB228" s="4"/>
      <c r="XFC228" s="4"/>
    </row>
    <row r="229" s="1" customFormat="1" spans="1:11 16351:16383">
      <c r="A229" s="19" t="s">
        <v>261</v>
      </c>
      <c r="B229" s="19"/>
      <c r="C229" s="19"/>
      <c r="D229" s="19"/>
      <c r="E229" s="19"/>
      <c r="F229" s="19"/>
      <c r="G229" s="19"/>
      <c r="H229" s="19"/>
      <c r="I229" s="25">
        <f t="shared" si="6"/>
        <v>0</v>
      </c>
      <c r="J229" s="25">
        <f t="shared" si="7"/>
        <v>0</v>
      </c>
      <c r="K229" s="33"/>
      <c r="XDW229" s="4"/>
      <c r="XDX229" s="4"/>
      <c r="XDY229" s="4"/>
      <c r="XDZ229" s="4"/>
      <c r="XEA229" s="4"/>
      <c r="XEB229" s="4"/>
      <c r="XEC229" s="4"/>
      <c r="XED229" s="4"/>
      <c r="XEE229" s="4"/>
      <c r="XEF229" s="4"/>
      <c r="XEG229" s="4"/>
      <c r="XEH229" s="4"/>
      <c r="XEI229" s="4"/>
      <c r="XEJ229" s="4"/>
      <c r="XEK229" s="4"/>
      <c r="XEL229" s="4"/>
      <c r="XEM229" s="4"/>
      <c r="XEN229" s="4"/>
      <c r="XEO229" s="4"/>
      <c r="XEP229" s="4"/>
      <c r="XEQ229" s="4"/>
      <c r="XER229" s="4"/>
      <c r="XES229" s="4"/>
      <c r="XET229" s="4"/>
      <c r="XEU229" s="4"/>
      <c r="XEV229" s="4"/>
      <c r="XEW229" s="4"/>
      <c r="XEX229" s="4"/>
      <c r="XEY229" s="4"/>
      <c r="XEZ229" s="4"/>
      <c r="XFA229" s="4"/>
      <c r="XFB229" s="4"/>
      <c r="XFC229" s="4"/>
    </row>
    <row r="230" s="1" customFormat="1" ht="27.6" spans="1:11 16351:16383">
      <c r="A230" s="35" t="s">
        <v>262</v>
      </c>
      <c r="B230" s="36" t="s">
        <v>263</v>
      </c>
      <c r="C230" s="23">
        <v>3000</v>
      </c>
      <c r="D230" s="30">
        <v>3000</v>
      </c>
      <c r="E230" s="25">
        <v>12000</v>
      </c>
      <c r="F230" s="25">
        <v>5000</v>
      </c>
      <c r="G230" s="25">
        <v>10000</v>
      </c>
      <c r="H230" s="25">
        <v>5000</v>
      </c>
      <c r="I230" s="25">
        <f t="shared" si="6"/>
        <v>1875</v>
      </c>
      <c r="J230" s="25">
        <f t="shared" si="7"/>
        <v>5625</v>
      </c>
      <c r="K230" s="25">
        <v>7500</v>
      </c>
    </row>
    <row r="231" s="1" customFormat="1" ht="27.6" spans="1:11 16351:16383">
      <c r="A231" s="35" t="s">
        <v>264</v>
      </c>
      <c r="B231" s="36" t="s">
        <v>263</v>
      </c>
      <c r="C231" s="23">
        <v>2000</v>
      </c>
      <c r="D231" s="30">
        <v>2000</v>
      </c>
      <c r="E231" s="25">
        <v>8000</v>
      </c>
      <c r="F231" s="25">
        <v>5000</v>
      </c>
      <c r="G231" s="25">
        <v>10000</v>
      </c>
      <c r="H231" s="25">
        <v>5000</v>
      </c>
      <c r="I231" s="25">
        <f t="shared" si="6"/>
        <v>1250</v>
      </c>
      <c r="J231" s="25">
        <f t="shared" si="7"/>
        <v>3750</v>
      </c>
      <c r="K231" s="25">
        <v>5000</v>
      </c>
    </row>
    <row r="232" s="1" customFormat="1" ht="27.6" spans="1:11 16351:16383">
      <c r="A232" s="35" t="s">
        <v>265</v>
      </c>
      <c r="B232" s="36" t="s">
        <v>263</v>
      </c>
      <c r="C232" s="23">
        <v>1000</v>
      </c>
      <c r="D232" s="30">
        <v>1500</v>
      </c>
      <c r="E232" s="25">
        <v>4000</v>
      </c>
      <c r="F232" s="25">
        <v>5000</v>
      </c>
      <c r="G232" s="25">
        <v>10000</v>
      </c>
      <c r="H232" s="25">
        <v>5000</v>
      </c>
      <c r="I232" s="25">
        <f t="shared" si="6"/>
        <v>937.5</v>
      </c>
      <c r="J232" s="25">
        <f t="shared" si="7"/>
        <v>2812.5</v>
      </c>
      <c r="K232" s="25">
        <v>3750</v>
      </c>
    </row>
    <row r="233" s="1" customFormat="1" ht="27.6" spans="1:11 16351:16383">
      <c r="A233" s="35" t="s">
        <v>266</v>
      </c>
      <c r="B233" s="36" t="s">
        <v>267</v>
      </c>
      <c r="C233" s="23">
        <v>3000</v>
      </c>
      <c r="D233" s="30">
        <v>2000</v>
      </c>
      <c r="E233" s="25">
        <v>12000</v>
      </c>
      <c r="F233" s="25">
        <v>5000</v>
      </c>
      <c r="G233" s="25">
        <v>10000</v>
      </c>
      <c r="H233" s="25">
        <v>5000</v>
      </c>
      <c r="I233" s="25">
        <f t="shared" si="6"/>
        <v>1250</v>
      </c>
      <c r="J233" s="25">
        <f t="shared" si="7"/>
        <v>3750</v>
      </c>
      <c r="K233" s="25">
        <v>5000</v>
      </c>
    </row>
    <row r="234" s="1" customFormat="1" ht="27.6" spans="1:11 16351:16383">
      <c r="A234" s="35" t="s">
        <v>268</v>
      </c>
      <c r="B234" s="36" t="s">
        <v>267</v>
      </c>
      <c r="C234" s="23">
        <v>2000</v>
      </c>
      <c r="D234" s="30">
        <v>1500</v>
      </c>
      <c r="E234" s="25">
        <v>8000</v>
      </c>
      <c r="F234" s="25">
        <v>5000</v>
      </c>
      <c r="G234" s="25">
        <v>10000</v>
      </c>
      <c r="H234" s="25">
        <v>5000</v>
      </c>
      <c r="I234" s="25">
        <f t="shared" si="6"/>
        <v>937.5</v>
      </c>
      <c r="J234" s="25">
        <f t="shared" si="7"/>
        <v>2812.5</v>
      </c>
      <c r="K234" s="25">
        <v>3750</v>
      </c>
    </row>
    <row r="235" s="1" customFormat="1" ht="27.6" spans="1:11 16351:16383">
      <c r="A235" s="35" t="s">
        <v>269</v>
      </c>
      <c r="B235" s="36" t="s">
        <v>267</v>
      </c>
      <c r="C235" s="23">
        <v>1000</v>
      </c>
      <c r="D235" s="30">
        <v>1000</v>
      </c>
      <c r="E235" s="25">
        <v>4000</v>
      </c>
      <c r="F235" s="25">
        <v>5000</v>
      </c>
      <c r="G235" s="25">
        <v>10000</v>
      </c>
      <c r="H235" s="25">
        <v>5000</v>
      </c>
      <c r="I235" s="25">
        <f t="shared" si="6"/>
        <v>625</v>
      </c>
      <c r="J235" s="25">
        <f t="shared" si="7"/>
        <v>1875</v>
      </c>
      <c r="K235" s="25">
        <v>2500</v>
      </c>
    </row>
    <row r="236" s="1" customFormat="1" ht="27.6" spans="1:11 16351:16383">
      <c r="A236" s="35" t="s">
        <v>270</v>
      </c>
      <c r="B236" s="36" t="s">
        <v>267</v>
      </c>
      <c r="C236" s="23">
        <v>500</v>
      </c>
      <c r="D236" s="30">
        <v>500</v>
      </c>
      <c r="E236" s="25">
        <v>2000</v>
      </c>
      <c r="F236" s="25">
        <v>5000</v>
      </c>
      <c r="G236" s="25">
        <v>10000</v>
      </c>
      <c r="H236" s="25">
        <v>5000</v>
      </c>
      <c r="I236" s="25">
        <f t="shared" si="6"/>
        <v>312.5</v>
      </c>
      <c r="J236" s="25">
        <f t="shared" si="7"/>
        <v>937.5</v>
      </c>
      <c r="K236" s="25">
        <v>1250</v>
      </c>
    </row>
    <row r="237" s="1" customFormat="1" spans="1:11 16351:16383">
      <c r="A237" s="35" t="s">
        <v>271</v>
      </c>
      <c r="B237" s="36" t="s">
        <v>267</v>
      </c>
      <c r="C237" s="23">
        <v>3000</v>
      </c>
      <c r="D237" s="30">
        <v>3000</v>
      </c>
      <c r="E237" s="25">
        <v>12000</v>
      </c>
      <c r="F237" s="25">
        <v>5000</v>
      </c>
      <c r="G237" s="25">
        <v>10000</v>
      </c>
      <c r="H237" s="25">
        <v>5000</v>
      </c>
      <c r="I237" s="25">
        <f t="shared" si="6"/>
        <v>1875</v>
      </c>
      <c r="J237" s="25">
        <f t="shared" si="7"/>
        <v>5625</v>
      </c>
      <c r="K237" s="25">
        <v>7500</v>
      </c>
    </row>
    <row r="238" s="1" customFormat="1" spans="1:11 16351:16383">
      <c r="A238" s="35" t="s">
        <v>272</v>
      </c>
      <c r="B238" s="36" t="s">
        <v>267</v>
      </c>
      <c r="C238" s="23">
        <v>2000</v>
      </c>
      <c r="D238" s="30">
        <v>2000</v>
      </c>
      <c r="E238" s="25">
        <v>8000</v>
      </c>
      <c r="F238" s="25">
        <v>5000</v>
      </c>
      <c r="G238" s="25">
        <v>10000</v>
      </c>
      <c r="H238" s="25">
        <v>5000</v>
      </c>
      <c r="I238" s="25">
        <f t="shared" si="6"/>
        <v>1250</v>
      </c>
      <c r="J238" s="25">
        <f t="shared" si="7"/>
        <v>3750</v>
      </c>
      <c r="K238" s="25">
        <v>5000</v>
      </c>
    </row>
    <row r="239" s="1" customFormat="1" spans="1:11 16351:16383">
      <c r="A239" s="35" t="s">
        <v>273</v>
      </c>
      <c r="B239" s="36" t="s">
        <v>267</v>
      </c>
      <c r="C239" s="23">
        <v>1000</v>
      </c>
      <c r="D239" s="30">
        <v>1500</v>
      </c>
      <c r="E239" s="25">
        <v>4000</v>
      </c>
      <c r="F239" s="25">
        <v>5000</v>
      </c>
      <c r="G239" s="25">
        <v>10000</v>
      </c>
      <c r="H239" s="25">
        <v>5000</v>
      </c>
      <c r="I239" s="25">
        <f t="shared" si="6"/>
        <v>937.5</v>
      </c>
      <c r="J239" s="25">
        <f t="shared" si="7"/>
        <v>2812.5</v>
      </c>
      <c r="K239" s="25">
        <v>3750</v>
      </c>
    </row>
    <row r="240" s="1" customFormat="1" spans="1:11 16351:16383">
      <c r="A240" s="35" t="s">
        <v>274</v>
      </c>
      <c r="B240" s="36" t="s">
        <v>275</v>
      </c>
      <c r="C240" s="23">
        <v>3000</v>
      </c>
      <c r="D240" s="30">
        <v>2000</v>
      </c>
      <c r="E240" s="25">
        <v>12000</v>
      </c>
      <c r="F240" s="25">
        <v>5000</v>
      </c>
      <c r="G240" s="25">
        <v>10000</v>
      </c>
      <c r="H240" s="25">
        <v>5000</v>
      </c>
      <c r="I240" s="25">
        <f t="shared" si="6"/>
        <v>1250</v>
      </c>
      <c r="J240" s="25">
        <f t="shared" si="7"/>
        <v>3750</v>
      </c>
      <c r="K240" s="25">
        <v>5000</v>
      </c>
    </row>
    <row r="241" s="1" customFormat="1" spans="1:11">
      <c r="A241" s="35" t="s">
        <v>276</v>
      </c>
      <c r="B241" s="36" t="s">
        <v>275</v>
      </c>
      <c r="C241" s="23">
        <v>2000</v>
      </c>
      <c r="D241" s="30">
        <v>1500</v>
      </c>
      <c r="E241" s="25">
        <v>8000</v>
      </c>
      <c r="F241" s="25">
        <v>5000</v>
      </c>
      <c r="G241" s="25">
        <v>10000</v>
      </c>
      <c r="H241" s="25">
        <v>5000</v>
      </c>
      <c r="I241" s="25">
        <f t="shared" si="6"/>
        <v>937.5</v>
      </c>
      <c r="J241" s="25">
        <f t="shared" si="7"/>
        <v>2812.5</v>
      </c>
      <c r="K241" s="25">
        <v>3750</v>
      </c>
    </row>
    <row r="242" s="1" customFormat="1" spans="1:11">
      <c r="A242" s="35" t="s">
        <v>277</v>
      </c>
      <c r="B242" s="36" t="s">
        <v>275</v>
      </c>
      <c r="C242" s="23">
        <v>1000</v>
      </c>
      <c r="D242" s="30">
        <v>1000</v>
      </c>
      <c r="E242" s="25">
        <v>4000</v>
      </c>
      <c r="F242" s="25">
        <v>5000</v>
      </c>
      <c r="G242" s="25">
        <v>10000</v>
      </c>
      <c r="H242" s="25">
        <v>5000</v>
      </c>
      <c r="I242" s="25">
        <f t="shared" si="6"/>
        <v>625</v>
      </c>
      <c r="J242" s="25">
        <f t="shared" si="7"/>
        <v>1875</v>
      </c>
      <c r="K242" s="25">
        <v>2500</v>
      </c>
    </row>
    <row r="243" s="1" customFormat="1" spans="1:11">
      <c r="A243" s="35" t="s">
        <v>278</v>
      </c>
      <c r="B243" s="36"/>
      <c r="C243" s="23">
        <v>500</v>
      </c>
      <c r="D243" s="30">
        <v>500</v>
      </c>
      <c r="E243" s="25">
        <v>2000</v>
      </c>
      <c r="F243" s="25">
        <v>5000</v>
      </c>
      <c r="G243" s="25">
        <v>10000</v>
      </c>
      <c r="H243" s="25">
        <v>5000</v>
      </c>
      <c r="I243" s="25">
        <f t="shared" si="6"/>
        <v>312.5</v>
      </c>
      <c r="J243" s="25">
        <f t="shared" si="7"/>
        <v>937.5</v>
      </c>
      <c r="K243" s="25">
        <v>1250</v>
      </c>
    </row>
    <row r="244" s="1" customFormat="1" spans="1:11">
      <c r="A244" s="35" t="s">
        <v>279</v>
      </c>
      <c r="B244" s="36"/>
      <c r="C244" s="23">
        <v>500</v>
      </c>
      <c r="D244" s="30">
        <v>500</v>
      </c>
      <c r="E244" s="25">
        <v>2000</v>
      </c>
      <c r="F244" s="25">
        <v>5000</v>
      </c>
      <c r="G244" s="25">
        <v>10000</v>
      </c>
      <c r="H244" s="25">
        <v>5000</v>
      </c>
      <c r="I244" s="25">
        <f t="shared" si="6"/>
        <v>312.5</v>
      </c>
      <c r="J244" s="25">
        <f t="shared" si="7"/>
        <v>937.5</v>
      </c>
      <c r="K244" s="25">
        <v>1250</v>
      </c>
    </row>
    <row r="245" s="1" customFormat="1" spans="1:11">
      <c r="A245" s="35" t="s">
        <v>280</v>
      </c>
      <c r="B245" s="36"/>
      <c r="C245" s="23">
        <v>1000</v>
      </c>
      <c r="D245" s="30">
        <v>500</v>
      </c>
      <c r="E245" s="25">
        <v>4000</v>
      </c>
      <c r="F245" s="25">
        <v>5000</v>
      </c>
      <c r="G245" s="25">
        <v>10000</v>
      </c>
      <c r="H245" s="25">
        <v>5000</v>
      </c>
      <c r="I245" s="25">
        <f t="shared" si="6"/>
        <v>312.5</v>
      </c>
      <c r="J245" s="25">
        <f t="shared" si="7"/>
        <v>937.5</v>
      </c>
      <c r="K245" s="25">
        <v>1250</v>
      </c>
    </row>
    <row r="246" s="1" customFormat="1" spans="1:11">
      <c r="A246" s="35" t="s">
        <v>281</v>
      </c>
      <c r="B246" s="36"/>
      <c r="C246" s="23">
        <v>500</v>
      </c>
      <c r="D246" s="30">
        <v>500</v>
      </c>
      <c r="E246" s="25">
        <v>2000</v>
      </c>
      <c r="F246" s="25">
        <v>5000</v>
      </c>
      <c r="G246" s="25">
        <v>10000</v>
      </c>
      <c r="H246" s="25">
        <v>5000</v>
      </c>
      <c r="I246" s="25">
        <f t="shared" si="6"/>
        <v>312.5</v>
      </c>
      <c r="J246" s="25">
        <f t="shared" si="7"/>
        <v>937.5</v>
      </c>
      <c r="K246" s="25">
        <v>1250</v>
      </c>
    </row>
    <row r="247" s="1" customFormat="1" spans="1:11">
      <c r="A247" s="35" t="s">
        <v>282</v>
      </c>
      <c r="B247" s="36"/>
      <c r="C247" s="23">
        <v>3000</v>
      </c>
      <c r="D247" s="30">
        <v>500</v>
      </c>
      <c r="E247" s="25">
        <v>12000</v>
      </c>
      <c r="F247" s="25">
        <v>5000</v>
      </c>
      <c r="G247" s="25">
        <v>10000</v>
      </c>
      <c r="H247" s="25">
        <v>5000</v>
      </c>
      <c r="I247" s="25">
        <f t="shared" si="6"/>
        <v>312.5</v>
      </c>
      <c r="J247" s="25">
        <f t="shared" si="7"/>
        <v>937.5</v>
      </c>
      <c r="K247" s="25">
        <v>1250</v>
      </c>
    </row>
    <row r="248" s="1" customFormat="1" spans="1:11">
      <c r="A248" s="35" t="s">
        <v>283</v>
      </c>
      <c r="B248" s="36"/>
      <c r="C248" s="36"/>
      <c r="D248" s="30">
        <v>500</v>
      </c>
      <c r="E248" s="25">
        <v>0</v>
      </c>
      <c r="F248" s="25">
        <v>5000</v>
      </c>
      <c r="G248" s="25">
        <v>10000</v>
      </c>
      <c r="H248" s="25">
        <v>5000</v>
      </c>
      <c r="I248" s="25">
        <f t="shared" si="6"/>
        <v>312.5</v>
      </c>
      <c r="J248" s="25">
        <f t="shared" si="7"/>
        <v>937.5</v>
      </c>
      <c r="K248" s="25">
        <v>1250</v>
      </c>
    </row>
    <row r="249" s="1" customFormat="1" spans="1:11">
      <c r="A249" s="35" t="s">
        <v>284</v>
      </c>
      <c r="B249" s="36" t="s">
        <v>285</v>
      </c>
      <c r="C249" s="23">
        <v>3000</v>
      </c>
      <c r="D249" s="30">
        <v>3000</v>
      </c>
      <c r="E249" s="25">
        <v>12000</v>
      </c>
      <c r="F249" s="25">
        <v>5000</v>
      </c>
      <c r="G249" s="25">
        <v>10000</v>
      </c>
      <c r="H249" s="25">
        <v>5000</v>
      </c>
      <c r="I249" s="25">
        <f t="shared" si="6"/>
        <v>1875</v>
      </c>
      <c r="J249" s="25">
        <f t="shared" si="7"/>
        <v>5625</v>
      </c>
      <c r="K249" s="25">
        <v>7500</v>
      </c>
    </row>
    <row r="250" s="1" customFormat="1" spans="1:11">
      <c r="A250" s="35" t="s">
        <v>286</v>
      </c>
      <c r="B250" s="36" t="s">
        <v>285</v>
      </c>
      <c r="C250" s="23">
        <v>2000</v>
      </c>
      <c r="D250" s="30">
        <v>3000</v>
      </c>
      <c r="E250" s="25">
        <v>8000</v>
      </c>
      <c r="F250" s="25">
        <v>5000</v>
      </c>
      <c r="G250" s="25">
        <v>10000</v>
      </c>
      <c r="H250" s="25">
        <v>5000</v>
      </c>
      <c r="I250" s="25">
        <f t="shared" si="6"/>
        <v>1875</v>
      </c>
      <c r="J250" s="25">
        <f t="shared" si="7"/>
        <v>5625</v>
      </c>
      <c r="K250" s="25">
        <v>7500</v>
      </c>
    </row>
    <row r="251" s="1" customFormat="1" spans="1:11">
      <c r="A251" s="35" t="s">
        <v>287</v>
      </c>
      <c r="B251" s="36" t="s">
        <v>285</v>
      </c>
      <c r="C251" s="23">
        <v>1000</v>
      </c>
      <c r="D251" s="30">
        <v>1000</v>
      </c>
      <c r="E251" s="25">
        <v>4000</v>
      </c>
      <c r="F251" s="25">
        <v>5000</v>
      </c>
      <c r="G251" s="25">
        <v>10000</v>
      </c>
      <c r="H251" s="25">
        <v>5000</v>
      </c>
      <c r="I251" s="25">
        <f t="shared" si="6"/>
        <v>625</v>
      </c>
      <c r="J251" s="25">
        <f t="shared" si="7"/>
        <v>1875</v>
      </c>
      <c r="K251" s="25">
        <v>2500</v>
      </c>
    </row>
    <row r="252" s="1" customFormat="1" spans="1:11">
      <c r="A252" s="35" t="s">
        <v>288</v>
      </c>
      <c r="B252" s="36"/>
      <c r="C252" s="23">
        <v>500</v>
      </c>
      <c r="D252" s="30">
        <v>3000</v>
      </c>
      <c r="E252" s="25">
        <v>2000</v>
      </c>
      <c r="F252" s="25">
        <v>5000</v>
      </c>
      <c r="G252" s="25">
        <v>10000</v>
      </c>
      <c r="H252" s="25">
        <v>5000</v>
      </c>
      <c r="I252" s="25">
        <f t="shared" si="6"/>
        <v>1875</v>
      </c>
      <c r="J252" s="25">
        <f t="shared" si="7"/>
        <v>5625</v>
      </c>
      <c r="K252" s="25">
        <v>7500</v>
      </c>
    </row>
    <row r="253" s="1" customFormat="1" spans="1:11">
      <c r="A253" s="35" t="s">
        <v>289</v>
      </c>
      <c r="B253" s="36"/>
      <c r="C253" s="36"/>
      <c r="D253" s="30">
        <v>500</v>
      </c>
      <c r="E253" s="25">
        <v>0</v>
      </c>
      <c r="F253" s="25">
        <v>5000</v>
      </c>
      <c r="G253" s="25">
        <v>10000</v>
      </c>
      <c r="H253" s="25">
        <v>5000</v>
      </c>
      <c r="I253" s="25">
        <f t="shared" si="6"/>
        <v>312.5</v>
      </c>
      <c r="J253" s="25">
        <f t="shared" si="7"/>
        <v>937.5</v>
      </c>
      <c r="K253" s="25">
        <v>1250</v>
      </c>
    </row>
    <row r="254" s="1" customFormat="1" spans="1:11">
      <c r="A254" s="35" t="s">
        <v>290</v>
      </c>
      <c r="B254" s="36" t="s">
        <v>291</v>
      </c>
      <c r="C254" s="36"/>
      <c r="D254" s="30">
        <v>3000</v>
      </c>
      <c r="E254" s="25">
        <v>0</v>
      </c>
      <c r="F254" s="25">
        <v>5000</v>
      </c>
      <c r="G254" s="25">
        <v>10000</v>
      </c>
      <c r="H254" s="25">
        <v>5000</v>
      </c>
      <c r="I254" s="25">
        <f t="shared" si="6"/>
        <v>1875</v>
      </c>
      <c r="J254" s="25">
        <f t="shared" si="7"/>
        <v>5625</v>
      </c>
      <c r="K254" s="25">
        <v>7500</v>
      </c>
    </row>
    <row r="255" s="1" customFormat="1" spans="1:11">
      <c r="A255" s="35" t="s">
        <v>292</v>
      </c>
      <c r="B255" s="36" t="s">
        <v>291</v>
      </c>
      <c r="C255" s="36"/>
      <c r="D255" s="30">
        <v>2000</v>
      </c>
      <c r="E255" s="25">
        <v>0</v>
      </c>
      <c r="F255" s="25">
        <v>5000</v>
      </c>
      <c r="G255" s="25">
        <v>10000</v>
      </c>
      <c r="H255" s="25">
        <v>5000</v>
      </c>
      <c r="I255" s="25">
        <f t="shared" si="6"/>
        <v>1250</v>
      </c>
      <c r="J255" s="25">
        <f t="shared" si="7"/>
        <v>3750</v>
      </c>
      <c r="K255" s="25">
        <v>5000</v>
      </c>
    </row>
    <row r="256" s="1" customFormat="1" spans="1:11">
      <c r="A256" s="35" t="s">
        <v>293</v>
      </c>
      <c r="B256" s="36" t="s">
        <v>291</v>
      </c>
      <c r="C256" s="36"/>
      <c r="D256" s="30">
        <v>1000</v>
      </c>
      <c r="E256" s="25">
        <v>0</v>
      </c>
      <c r="F256" s="25">
        <v>5000</v>
      </c>
      <c r="G256" s="25">
        <v>10000</v>
      </c>
      <c r="H256" s="25">
        <v>5000</v>
      </c>
      <c r="I256" s="25">
        <f t="shared" si="6"/>
        <v>625</v>
      </c>
      <c r="J256" s="25">
        <f t="shared" si="7"/>
        <v>1875</v>
      </c>
      <c r="K256" s="25">
        <v>2500</v>
      </c>
    </row>
    <row r="257" s="1" customFormat="1" spans="1:11">
      <c r="A257" s="35" t="s">
        <v>294</v>
      </c>
      <c r="B257" s="36" t="s">
        <v>291</v>
      </c>
      <c r="C257" s="36"/>
      <c r="D257" s="30">
        <v>500</v>
      </c>
      <c r="E257" s="25">
        <v>0</v>
      </c>
      <c r="F257" s="25">
        <v>5000</v>
      </c>
      <c r="G257" s="25">
        <v>10000</v>
      </c>
      <c r="H257" s="25">
        <v>5000</v>
      </c>
      <c r="I257" s="25">
        <f t="shared" si="6"/>
        <v>312.5</v>
      </c>
      <c r="J257" s="25">
        <f t="shared" si="7"/>
        <v>937.5</v>
      </c>
      <c r="K257" s="25">
        <v>1250</v>
      </c>
    </row>
    <row r="258" s="1" customFormat="1" ht="27.6" spans="1:11">
      <c r="A258" s="35" t="s">
        <v>295</v>
      </c>
      <c r="B258" s="36" t="s">
        <v>204</v>
      </c>
      <c r="C258" s="23">
        <v>3000</v>
      </c>
      <c r="D258" s="30">
        <v>3000</v>
      </c>
      <c r="E258" s="25">
        <v>12000</v>
      </c>
      <c r="F258" s="25">
        <v>5000</v>
      </c>
      <c r="G258" s="25">
        <v>10000</v>
      </c>
      <c r="H258" s="25">
        <v>5000</v>
      </c>
      <c r="I258" s="25">
        <f t="shared" si="6"/>
        <v>1875</v>
      </c>
      <c r="J258" s="25">
        <f t="shared" si="7"/>
        <v>5625</v>
      </c>
      <c r="K258" s="25">
        <v>7500</v>
      </c>
    </row>
    <row r="259" s="1" customFormat="1" ht="27.6" spans="1:11">
      <c r="A259" s="35" t="s">
        <v>296</v>
      </c>
      <c r="B259" s="36" t="s">
        <v>204</v>
      </c>
      <c r="C259" s="23">
        <v>2000</v>
      </c>
      <c r="D259" s="30">
        <v>2000</v>
      </c>
      <c r="E259" s="25">
        <v>8000</v>
      </c>
      <c r="F259" s="25">
        <v>5000</v>
      </c>
      <c r="G259" s="25">
        <v>10000</v>
      </c>
      <c r="H259" s="25">
        <v>5000</v>
      </c>
      <c r="I259" s="25">
        <f t="shared" si="6"/>
        <v>1250</v>
      </c>
      <c r="J259" s="25">
        <f t="shared" si="7"/>
        <v>3750</v>
      </c>
      <c r="K259" s="25">
        <v>5000</v>
      </c>
    </row>
    <row r="260" s="1" customFormat="1" ht="27.6" spans="1:11">
      <c r="A260" s="35" t="s">
        <v>297</v>
      </c>
      <c r="B260" s="36" t="s">
        <v>204</v>
      </c>
      <c r="C260" s="23">
        <v>1000</v>
      </c>
      <c r="D260" s="30">
        <v>1500</v>
      </c>
      <c r="E260" s="25">
        <v>4000</v>
      </c>
      <c r="F260" s="25">
        <v>5000</v>
      </c>
      <c r="G260" s="25">
        <v>10000</v>
      </c>
      <c r="H260" s="25">
        <v>5000</v>
      </c>
      <c r="I260" s="25">
        <f t="shared" si="6"/>
        <v>937.5</v>
      </c>
      <c r="J260" s="25">
        <f t="shared" si="7"/>
        <v>2812.5</v>
      </c>
      <c r="K260" s="25">
        <v>3750</v>
      </c>
    </row>
    <row r="261" s="1" customFormat="1" ht="27.6" spans="1:11">
      <c r="A261" s="35" t="s">
        <v>298</v>
      </c>
      <c r="B261" s="36" t="s">
        <v>253</v>
      </c>
      <c r="C261" s="23">
        <v>3000</v>
      </c>
      <c r="D261" s="30">
        <v>3000</v>
      </c>
      <c r="E261" s="25">
        <v>12000</v>
      </c>
      <c r="F261" s="25">
        <v>5000</v>
      </c>
      <c r="G261" s="25">
        <v>10000</v>
      </c>
      <c r="H261" s="25">
        <v>5000</v>
      </c>
      <c r="I261" s="25">
        <f t="shared" si="6"/>
        <v>1875</v>
      </c>
      <c r="J261" s="25">
        <f t="shared" si="7"/>
        <v>5625</v>
      </c>
      <c r="K261" s="25">
        <v>7500</v>
      </c>
    </row>
    <row r="262" s="1" customFormat="1" ht="27.6" spans="1:11">
      <c r="A262" s="35" t="s">
        <v>299</v>
      </c>
      <c r="B262" s="36" t="s">
        <v>253</v>
      </c>
      <c r="C262" s="23">
        <v>2000</v>
      </c>
      <c r="D262" s="30">
        <v>2000</v>
      </c>
      <c r="E262" s="25">
        <v>8000</v>
      </c>
      <c r="F262" s="25">
        <v>5000</v>
      </c>
      <c r="G262" s="25">
        <v>10000</v>
      </c>
      <c r="H262" s="25">
        <v>5000</v>
      </c>
      <c r="I262" s="25">
        <f t="shared" si="6"/>
        <v>1250</v>
      </c>
      <c r="J262" s="25">
        <f t="shared" si="7"/>
        <v>3750</v>
      </c>
      <c r="K262" s="25">
        <v>5000</v>
      </c>
    </row>
    <row r="263" s="1" customFormat="1" ht="27.6" spans="1:11">
      <c r="A263" s="35" t="s">
        <v>300</v>
      </c>
      <c r="B263" s="36" t="s">
        <v>253</v>
      </c>
      <c r="C263" s="23">
        <v>1000</v>
      </c>
      <c r="D263" s="30">
        <v>1500</v>
      </c>
      <c r="E263" s="25">
        <v>4000</v>
      </c>
      <c r="F263" s="25">
        <v>5000</v>
      </c>
      <c r="G263" s="25">
        <v>10000</v>
      </c>
      <c r="H263" s="25">
        <v>5000</v>
      </c>
      <c r="I263" s="25">
        <f t="shared" si="6"/>
        <v>937.5</v>
      </c>
      <c r="J263" s="25">
        <f t="shared" si="7"/>
        <v>2812.5</v>
      </c>
      <c r="K263" s="25">
        <v>3750</v>
      </c>
    </row>
    <row r="264" s="1" customFormat="1" spans="1:11">
      <c r="A264" s="35" t="s">
        <v>301</v>
      </c>
      <c r="B264" s="36" t="s">
        <v>302</v>
      </c>
      <c r="C264" s="23">
        <v>3000</v>
      </c>
      <c r="D264" s="30">
        <v>3000</v>
      </c>
      <c r="E264" s="25">
        <v>12000</v>
      </c>
      <c r="F264" s="25">
        <v>5000</v>
      </c>
      <c r="G264" s="25">
        <v>10000</v>
      </c>
      <c r="H264" s="25">
        <v>5000</v>
      </c>
      <c r="I264" s="25">
        <f>K264*0.25</f>
        <v>1875</v>
      </c>
      <c r="J264" s="25">
        <f>K264*0.75</f>
        <v>5625</v>
      </c>
      <c r="K264" s="25">
        <v>7500</v>
      </c>
    </row>
    <row r="265" s="1" customFormat="1" spans="1:11">
      <c r="A265" s="35" t="s">
        <v>303</v>
      </c>
      <c r="B265" s="36" t="s">
        <v>302</v>
      </c>
      <c r="C265" s="23">
        <v>2000</v>
      </c>
      <c r="D265" s="30">
        <v>2000</v>
      </c>
      <c r="E265" s="25">
        <v>8000</v>
      </c>
      <c r="F265" s="25">
        <v>5000</v>
      </c>
      <c r="G265" s="25">
        <v>10000</v>
      </c>
      <c r="H265" s="25">
        <v>5000</v>
      </c>
      <c r="I265" s="25">
        <f>K265*0.25</f>
        <v>1250</v>
      </c>
      <c r="J265" s="25">
        <f>K265*0.75</f>
        <v>3750</v>
      </c>
      <c r="K265" s="25">
        <v>5000</v>
      </c>
    </row>
    <row r="266" s="1" customFormat="1" spans="1:11">
      <c r="A266" s="35" t="s">
        <v>304</v>
      </c>
      <c r="B266" s="36" t="s">
        <v>302</v>
      </c>
      <c r="C266" s="23">
        <v>1000</v>
      </c>
      <c r="D266" s="30">
        <v>1500</v>
      </c>
      <c r="E266" s="25">
        <v>4000</v>
      </c>
      <c r="F266" s="25">
        <v>5000</v>
      </c>
      <c r="G266" s="25">
        <v>10000</v>
      </c>
      <c r="H266" s="25">
        <v>5000</v>
      </c>
      <c r="I266" s="25">
        <f>K266*0.25</f>
        <v>937.5</v>
      </c>
      <c r="J266" s="25">
        <f>K266*0.75</f>
        <v>2812.5</v>
      </c>
      <c r="K266" s="25">
        <v>3750</v>
      </c>
    </row>
    <row r="267" s="1" customFormat="1" spans="1:11">
      <c r="A267" s="35" t="s">
        <v>305</v>
      </c>
      <c r="B267" s="36" t="s">
        <v>253</v>
      </c>
      <c r="C267" s="23">
        <v>3000</v>
      </c>
      <c r="D267" s="30">
        <v>3000</v>
      </c>
      <c r="E267" s="25">
        <v>12000</v>
      </c>
      <c r="F267" s="25">
        <v>5000</v>
      </c>
      <c r="G267" s="25">
        <v>10000</v>
      </c>
      <c r="H267" s="25">
        <v>5000</v>
      </c>
      <c r="I267" s="25">
        <f>K267*0.25</f>
        <v>1875</v>
      </c>
      <c r="J267" s="25">
        <f>K267*0.75</f>
        <v>5625</v>
      </c>
      <c r="K267" s="25">
        <v>7500</v>
      </c>
    </row>
    <row r="268" s="1" customFormat="1" spans="1:11">
      <c r="A268" s="35" t="s">
        <v>306</v>
      </c>
      <c r="B268" s="36" t="s">
        <v>253</v>
      </c>
      <c r="C268" s="23">
        <v>2000</v>
      </c>
      <c r="D268" s="30">
        <v>2000</v>
      </c>
      <c r="E268" s="25">
        <v>8000</v>
      </c>
      <c r="F268" s="25">
        <v>5000</v>
      </c>
      <c r="G268" s="25">
        <v>10000</v>
      </c>
      <c r="H268" s="25">
        <v>5000</v>
      </c>
      <c r="I268" s="25">
        <f>K268*0.25</f>
        <v>1250</v>
      </c>
      <c r="J268" s="25">
        <f>K268*0.75</f>
        <v>3750</v>
      </c>
      <c r="K268" s="25">
        <v>5000</v>
      </c>
    </row>
    <row r="269" s="1" customFormat="1" spans="1:11">
      <c r="A269" s="35" t="s">
        <v>307</v>
      </c>
      <c r="B269" s="36" t="s">
        <v>253</v>
      </c>
      <c r="C269" s="23">
        <v>1000</v>
      </c>
      <c r="D269" s="30">
        <v>1500</v>
      </c>
      <c r="E269" s="25">
        <v>4000</v>
      </c>
      <c r="F269" s="25">
        <v>5000</v>
      </c>
      <c r="G269" s="25">
        <v>10000</v>
      </c>
      <c r="H269" s="25">
        <v>5000</v>
      </c>
      <c r="I269" s="25">
        <f>K269*0.25</f>
        <v>937.5</v>
      </c>
      <c r="J269" s="25">
        <f>K269*0.75</f>
        <v>2812.5</v>
      </c>
      <c r="K269" s="25">
        <v>3750</v>
      </c>
    </row>
    <row r="270" s="1" customFormat="1" spans="1:11">
      <c r="A270" s="35" t="s">
        <v>308</v>
      </c>
      <c r="B270" s="36" t="s">
        <v>309</v>
      </c>
      <c r="C270" s="23">
        <v>3000</v>
      </c>
      <c r="D270" s="30">
        <v>3000</v>
      </c>
      <c r="E270" s="25">
        <v>12000</v>
      </c>
      <c r="F270" s="25">
        <v>5000</v>
      </c>
      <c r="G270" s="25">
        <v>10000</v>
      </c>
      <c r="H270" s="25">
        <v>5000</v>
      </c>
      <c r="I270" s="25">
        <f>K270*0.25</f>
        <v>1875</v>
      </c>
      <c r="J270" s="25">
        <f>K270*0.75</f>
        <v>5625</v>
      </c>
      <c r="K270" s="25">
        <v>7500</v>
      </c>
    </row>
    <row r="271" s="1" customFormat="1" spans="1:11">
      <c r="A271" s="35" t="s">
        <v>310</v>
      </c>
      <c r="B271" s="36" t="s">
        <v>309</v>
      </c>
      <c r="C271" s="23">
        <v>2000</v>
      </c>
      <c r="D271" s="30">
        <v>2000</v>
      </c>
      <c r="E271" s="25">
        <v>8000</v>
      </c>
      <c r="F271" s="25">
        <v>5000</v>
      </c>
      <c r="G271" s="25">
        <v>10000</v>
      </c>
      <c r="H271" s="25">
        <v>5000</v>
      </c>
      <c r="I271" s="25">
        <f>K271*0.25</f>
        <v>1250</v>
      </c>
      <c r="J271" s="25">
        <f>K271*0.75</f>
        <v>3750</v>
      </c>
      <c r="K271" s="25">
        <v>5000</v>
      </c>
    </row>
    <row r="272" s="1" customFormat="1" spans="1:11">
      <c r="A272" s="35" t="s">
        <v>311</v>
      </c>
      <c r="B272" s="36" t="s">
        <v>309</v>
      </c>
      <c r="C272" s="23">
        <v>1000</v>
      </c>
      <c r="D272" s="30">
        <v>1500</v>
      </c>
      <c r="E272" s="25">
        <v>4000</v>
      </c>
      <c r="F272" s="25">
        <v>5000</v>
      </c>
      <c r="G272" s="25">
        <v>10000</v>
      </c>
      <c r="H272" s="25">
        <v>5000</v>
      </c>
      <c r="I272" s="25">
        <f>K272*0.25</f>
        <v>937.5</v>
      </c>
      <c r="J272" s="25">
        <f>K272*0.75</f>
        <v>2812.5</v>
      </c>
      <c r="K272" s="25">
        <v>3750</v>
      </c>
    </row>
    <row r="273" s="1" customFormat="1" spans="1:11">
      <c r="A273" s="35" t="s">
        <v>312</v>
      </c>
      <c r="B273" s="36" t="s">
        <v>313</v>
      </c>
      <c r="C273" s="23">
        <v>3000</v>
      </c>
      <c r="D273" s="30">
        <v>3000</v>
      </c>
      <c r="E273" s="25">
        <v>12000</v>
      </c>
      <c r="F273" s="25">
        <v>5000</v>
      </c>
      <c r="G273" s="25">
        <v>10000</v>
      </c>
      <c r="H273" s="25">
        <v>5000</v>
      </c>
      <c r="I273" s="25">
        <f>K273*0.25</f>
        <v>1875</v>
      </c>
      <c r="J273" s="25">
        <f>K273*0.75</f>
        <v>5625</v>
      </c>
      <c r="K273" s="25">
        <v>7500</v>
      </c>
    </row>
    <row r="274" s="1" customFormat="1" spans="1:11">
      <c r="A274" s="35" t="s">
        <v>314</v>
      </c>
      <c r="B274" s="36" t="s">
        <v>313</v>
      </c>
      <c r="C274" s="23">
        <v>2000</v>
      </c>
      <c r="D274" s="30">
        <v>2000</v>
      </c>
      <c r="E274" s="25">
        <v>8000</v>
      </c>
      <c r="F274" s="25">
        <v>5000</v>
      </c>
      <c r="G274" s="25">
        <v>10000</v>
      </c>
      <c r="H274" s="25">
        <v>5000</v>
      </c>
      <c r="I274" s="25">
        <f>K274*0.25</f>
        <v>1250</v>
      </c>
      <c r="J274" s="25">
        <f>K274*0.75</f>
        <v>3750</v>
      </c>
      <c r="K274" s="25">
        <v>5000</v>
      </c>
    </row>
    <row r="275" s="1" customFormat="1" spans="1:11">
      <c r="A275" s="35" t="s">
        <v>315</v>
      </c>
      <c r="B275" s="36" t="s">
        <v>313</v>
      </c>
      <c r="C275" s="23">
        <v>1000</v>
      </c>
      <c r="D275" s="30">
        <v>1500</v>
      </c>
      <c r="E275" s="25">
        <v>4000</v>
      </c>
      <c r="F275" s="25">
        <v>5000</v>
      </c>
      <c r="G275" s="25">
        <v>10000</v>
      </c>
      <c r="H275" s="25">
        <v>5000</v>
      </c>
      <c r="I275" s="25">
        <f>K275*0.25</f>
        <v>937.5</v>
      </c>
      <c r="J275" s="25">
        <f>K275*0.75</f>
        <v>2812.5</v>
      </c>
      <c r="K275" s="25">
        <v>3750</v>
      </c>
    </row>
    <row r="276" s="1" customFormat="1" spans="1:11">
      <c r="A276" s="35" t="s">
        <v>316</v>
      </c>
      <c r="B276" s="36" t="s">
        <v>257</v>
      </c>
      <c r="C276" s="23">
        <v>3000</v>
      </c>
      <c r="D276" s="30">
        <v>3000</v>
      </c>
      <c r="E276" s="25">
        <v>12000</v>
      </c>
      <c r="F276" s="25">
        <v>5000</v>
      </c>
      <c r="G276" s="25">
        <v>10000</v>
      </c>
      <c r="H276" s="25">
        <v>5000</v>
      </c>
      <c r="I276" s="25">
        <f>K276*0.25</f>
        <v>1875</v>
      </c>
      <c r="J276" s="25">
        <f>K276*0.75</f>
        <v>5625</v>
      </c>
      <c r="K276" s="25">
        <v>7500</v>
      </c>
    </row>
    <row r="277" s="1" customFormat="1" spans="1:11">
      <c r="A277" s="35" t="s">
        <v>317</v>
      </c>
      <c r="B277" s="36" t="s">
        <v>257</v>
      </c>
      <c r="C277" s="23">
        <v>2000</v>
      </c>
      <c r="D277" s="30">
        <v>2000</v>
      </c>
      <c r="E277" s="25">
        <v>8000</v>
      </c>
      <c r="F277" s="25">
        <v>5000</v>
      </c>
      <c r="G277" s="25">
        <v>10000</v>
      </c>
      <c r="H277" s="25">
        <v>5000</v>
      </c>
      <c r="I277" s="25">
        <f>K277*0.25</f>
        <v>1250</v>
      </c>
      <c r="J277" s="25">
        <f>K277*0.75</f>
        <v>3750</v>
      </c>
      <c r="K277" s="25">
        <v>5000</v>
      </c>
    </row>
    <row r="278" s="1" customFormat="1" spans="1:11">
      <c r="A278" s="35" t="s">
        <v>318</v>
      </c>
      <c r="B278" s="36" t="s">
        <v>257</v>
      </c>
      <c r="C278" s="23">
        <v>1000</v>
      </c>
      <c r="D278" s="30">
        <v>1500</v>
      </c>
      <c r="E278" s="25">
        <v>4000</v>
      </c>
      <c r="F278" s="25">
        <v>5000</v>
      </c>
      <c r="G278" s="25">
        <v>10000</v>
      </c>
      <c r="H278" s="25">
        <v>5000</v>
      </c>
      <c r="I278" s="25">
        <f>K278*0.25</f>
        <v>937.5</v>
      </c>
      <c r="J278" s="25">
        <f>K278*0.75</f>
        <v>2812.5</v>
      </c>
      <c r="K278" s="25">
        <v>3750</v>
      </c>
    </row>
    <row r="279" s="1" customFormat="1" spans="1:11">
      <c r="A279" s="35" t="s">
        <v>319</v>
      </c>
      <c r="B279" s="36" t="s">
        <v>320</v>
      </c>
      <c r="C279" s="36"/>
      <c r="D279" s="38">
        <v>3000</v>
      </c>
      <c r="E279" s="25">
        <v>0</v>
      </c>
      <c r="F279" s="25">
        <v>5000</v>
      </c>
      <c r="G279" s="25">
        <v>10000</v>
      </c>
      <c r="H279" s="25">
        <v>5000</v>
      </c>
      <c r="I279" s="25">
        <f>K279*0.25</f>
        <v>1875</v>
      </c>
      <c r="J279" s="25">
        <f>K279*0.75</f>
        <v>5625</v>
      </c>
      <c r="K279" s="25">
        <v>7500</v>
      </c>
    </row>
    <row r="280" s="1" customFormat="1" spans="1:11">
      <c r="A280" s="35" t="s">
        <v>321</v>
      </c>
      <c r="B280" s="36" t="s">
        <v>322</v>
      </c>
      <c r="C280" s="36"/>
      <c r="D280" s="38">
        <v>3000</v>
      </c>
      <c r="E280" s="25">
        <v>0</v>
      </c>
      <c r="F280" s="25">
        <v>5000</v>
      </c>
      <c r="G280" s="25">
        <v>10000</v>
      </c>
      <c r="H280" s="25">
        <v>5000</v>
      </c>
      <c r="I280" s="25">
        <f>K280*0.25</f>
        <v>1875</v>
      </c>
      <c r="J280" s="25">
        <f>K280*0.75</f>
        <v>5625</v>
      </c>
      <c r="K280" s="25">
        <v>7500</v>
      </c>
    </row>
    <row r="281" s="1" customFormat="1" spans="1:11">
      <c r="A281" s="31" t="s">
        <v>323</v>
      </c>
      <c r="B281" s="31"/>
      <c r="C281" s="31"/>
      <c r="D281" s="31"/>
      <c r="E281" s="31"/>
      <c r="F281" s="31"/>
      <c r="G281" s="31"/>
      <c r="H281" s="31"/>
      <c r="I281" s="25">
        <f>K281*0.25</f>
        <v>0</v>
      </c>
      <c r="J281" s="25">
        <f>K281*0.75</f>
        <v>0</v>
      </c>
      <c r="K281" s="32"/>
    </row>
    <row r="282" s="1" customFormat="1" spans="1:11">
      <c r="A282" s="35" t="s">
        <v>324</v>
      </c>
      <c r="B282" s="36" t="s">
        <v>160</v>
      </c>
      <c r="C282" s="23">
        <v>3000</v>
      </c>
      <c r="D282" s="30">
        <v>3000</v>
      </c>
      <c r="E282" s="25">
        <v>12000</v>
      </c>
      <c r="F282" s="25">
        <v>5000</v>
      </c>
      <c r="G282" s="25">
        <v>10000</v>
      </c>
      <c r="H282" s="25">
        <v>5000</v>
      </c>
      <c r="I282" s="25">
        <f>K282*0.25</f>
        <v>1875</v>
      </c>
      <c r="J282" s="25">
        <f>K282*0.75</f>
        <v>5625</v>
      </c>
      <c r="K282" s="25">
        <v>7500</v>
      </c>
    </row>
    <row r="283" s="1" customFormat="1" spans="1:11">
      <c r="A283" s="35" t="s">
        <v>325</v>
      </c>
      <c r="B283" s="36" t="s">
        <v>160</v>
      </c>
      <c r="C283" s="23">
        <v>2000</v>
      </c>
      <c r="D283" s="30">
        <v>2000</v>
      </c>
      <c r="E283" s="25">
        <v>8000</v>
      </c>
      <c r="F283" s="25">
        <v>5000</v>
      </c>
      <c r="G283" s="25">
        <v>10000</v>
      </c>
      <c r="H283" s="25">
        <v>5000</v>
      </c>
      <c r="I283" s="25">
        <f>K283*0.25</f>
        <v>1250</v>
      </c>
      <c r="J283" s="25">
        <f>K283*0.75</f>
        <v>3750</v>
      </c>
      <c r="K283" s="25">
        <v>5000</v>
      </c>
    </row>
    <row r="284" s="1" customFormat="1" spans="1:11">
      <c r="A284" s="35" t="s">
        <v>326</v>
      </c>
      <c r="B284" s="36" t="s">
        <v>160</v>
      </c>
      <c r="C284" s="23">
        <v>1000</v>
      </c>
      <c r="D284" s="30">
        <v>1000</v>
      </c>
      <c r="E284" s="25">
        <v>4000</v>
      </c>
      <c r="F284" s="25">
        <v>5000</v>
      </c>
      <c r="G284" s="25">
        <v>10000</v>
      </c>
      <c r="H284" s="25">
        <v>5000</v>
      </c>
      <c r="I284" s="25">
        <f>K284*0.25</f>
        <v>625</v>
      </c>
      <c r="J284" s="25">
        <f>K284*0.75</f>
        <v>1875</v>
      </c>
      <c r="K284" s="25">
        <v>2500</v>
      </c>
    </row>
    <row r="285" s="1" customFormat="1" spans="1:11">
      <c r="A285" s="35" t="s">
        <v>327</v>
      </c>
      <c r="B285" s="36" t="s">
        <v>160</v>
      </c>
      <c r="C285" s="23">
        <v>500</v>
      </c>
      <c r="D285" s="30">
        <v>500</v>
      </c>
      <c r="E285" s="25">
        <v>2000</v>
      </c>
      <c r="F285" s="25">
        <v>5000</v>
      </c>
      <c r="G285" s="25">
        <v>10000</v>
      </c>
      <c r="H285" s="25">
        <v>5000</v>
      </c>
      <c r="I285" s="25">
        <f>K285*0.25</f>
        <v>312.5</v>
      </c>
      <c r="J285" s="25">
        <f>K285*0.75</f>
        <v>937.5</v>
      </c>
      <c r="K285" s="25">
        <v>1250</v>
      </c>
    </row>
    <row r="286" s="1" customFormat="1" spans="1:11">
      <c r="A286" s="35" t="s">
        <v>328</v>
      </c>
      <c r="B286" s="36" t="s">
        <v>160</v>
      </c>
      <c r="C286" s="23">
        <v>3000</v>
      </c>
      <c r="D286" s="30">
        <v>3000</v>
      </c>
      <c r="E286" s="25">
        <v>12000</v>
      </c>
      <c r="F286" s="25">
        <v>5000</v>
      </c>
      <c r="G286" s="25">
        <v>10000</v>
      </c>
      <c r="H286" s="25">
        <v>5000</v>
      </c>
      <c r="I286" s="25">
        <f>K286*0.25</f>
        <v>1875</v>
      </c>
      <c r="J286" s="25">
        <f>K286*0.75</f>
        <v>5625</v>
      </c>
      <c r="K286" s="25">
        <v>7500</v>
      </c>
    </row>
    <row r="287" s="1" customFormat="1" spans="1:11">
      <c r="A287" s="35" t="s">
        <v>329</v>
      </c>
      <c r="B287" s="36" t="s">
        <v>160</v>
      </c>
      <c r="C287" s="23">
        <v>2000</v>
      </c>
      <c r="D287" s="30">
        <v>2000</v>
      </c>
      <c r="E287" s="25">
        <v>8000</v>
      </c>
      <c r="F287" s="25">
        <v>5000</v>
      </c>
      <c r="G287" s="25">
        <v>10000</v>
      </c>
      <c r="H287" s="25">
        <v>5000</v>
      </c>
      <c r="I287" s="25">
        <f>K287*0.25</f>
        <v>1250</v>
      </c>
      <c r="J287" s="25">
        <f>K287*0.75</f>
        <v>3750</v>
      </c>
      <c r="K287" s="25">
        <v>5000</v>
      </c>
    </row>
    <row r="288" s="1" customFormat="1" spans="1:11">
      <c r="A288" s="35" t="s">
        <v>330</v>
      </c>
      <c r="B288" s="36" t="s">
        <v>160</v>
      </c>
      <c r="C288" s="23">
        <v>1000</v>
      </c>
      <c r="D288" s="30">
        <v>1000</v>
      </c>
      <c r="E288" s="25">
        <v>4000</v>
      </c>
      <c r="F288" s="25">
        <v>5000</v>
      </c>
      <c r="G288" s="25">
        <v>10000</v>
      </c>
      <c r="H288" s="25">
        <v>5000</v>
      </c>
      <c r="I288" s="25">
        <f>K288*0.25</f>
        <v>625</v>
      </c>
      <c r="J288" s="25">
        <f>K288*0.75</f>
        <v>1875</v>
      </c>
      <c r="K288" s="25">
        <v>2500</v>
      </c>
    </row>
    <row r="289" s="1" customFormat="1" spans="1:12">
      <c r="A289" s="35" t="s">
        <v>331</v>
      </c>
      <c r="B289" s="36" t="s">
        <v>160</v>
      </c>
      <c r="C289" s="23">
        <v>500</v>
      </c>
      <c r="D289" s="30">
        <v>500</v>
      </c>
      <c r="E289" s="25">
        <v>2000</v>
      </c>
      <c r="F289" s="25">
        <v>5000</v>
      </c>
      <c r="G289" s="25">
        <v>10000</v>
      </c>
      <c r="H289" s="25">
        <v>5000</v>
      </c>
      <c r="I289" s="25">
        <f>K289*0.25</f>
        <v>312.5</v>
      </c>
      <c r="J289" s="25">
        <f>K289*0.75</f>
        <v>937.5</v>
      </c>
      <c r="K289" s="25">
        <v>1250</v>
      </c>
    </row>
    <row r="290" s="1" customFormat="1" spans="1:12">
      <c r="A290" s="35" t="s">
        <v>332</v>
      </c>
      <c r="B290" s="36" t="s">
        <v>160</v>
      </c>
      <c r="C290" s="23">
        <v>4000</v>
      </c>
      <c r="D290" s="30">
        <v>3000</v>
      </c>
      <c r="E290" s="25">
        <v>16000</v>
      </c>
      <c r="F290" s="25">
        <v>5000</v>
      </c>
      <c r="G290" s="25">
        <v>10000</v>
      </c>
      <c r="H290" s="25">
        <v>5000</v>
      </c>
      <c r="I290" s="25">
        <f>K290*0.25</f>
        <v>1875</v>
      </c>
      <c r="J290" s="25">
        <f>K290*0.75</f>
        <v>5625</v>
      </c>
      <c r="K290" s="25">
        <v>7500</v>
      </c>
    </row>
    <row r="291" s="1" customFormat="1" spans="1:12">
      <c r="A291" s="35" t="s">
        <v>333</v>
      </c>
      <c r="B291" s="36" t="s">
        <v>160</v>
      </c>
      <c r="C291" s="23">
        <v>3000</v>
      </c>
      <c r="D291" s="30">
        <v>3000</v>
      </c>
      <c r="E291" s="25">
        <v>12000</v>
      </c>
      <c r="F291" s="25">
        <v>5000</v>
      </c>
      <c r="G291" s="25">
        <v>10000</v>
      </c>
      <c r="H291" s="25">
        <v>5000</v>
      </c>
      <c r="I291" s="25">
        <f>K291*0.25</f>
        <v>1875</v>
      </c>
      <c r="J291" s="25">
        <f>K291*0.75</f>
        <v>5625</v>
      </c>
      <c r="K291" s="25">
        <v>7500</v>
      </c>
    </row>
    <row r="292" s="1" customFormat="1" spans="1:12">
      <c r="A292" s="35" t="s">
        <v>334</v>
      </c>
      <c r="B292" s="36" t="s">
        <v>160</v>
      </c>
      <c r="C292" s="23">
        <v>2000</v>
      </c>
      <c r="D292" s="30">
        <v>2000</v>
      </c>
      <c r="E292" s="25">
        <v>8000</v>
      </c>
      <c r="F292" s="25">
        <v>5000</v>
      </c>
      <c r="G292" s="25">
        <v>10000</v>
      </c>
      <c r="H292" s="25">
        <v>5000</v>
      </c>
      <c r="I292" s="25">
        <f>K292*0.25</f>
        <v>1250</v>
      </c>
      <c r="J292" s="25">
        <f>K292*0.75</f>
        <v>3750</v>
      </c>
      <c r="K292" s="25">
        <v>5000</v>
      </c>
    </row>
    <row r="293" s="1" customFormat="1" spans="1:12">
      <c r="A293" s="35" t="s">
        <v>335</v>
      </c>
      <c r="B293" s="23" t="s">
        <v>160</v>
      </c>
      <c r="C293" s="23">
        <v>1000</v>
      </c>
      <c r="D293" s="30">
        <v>1000</v>
      </c>
      <c r="E293" s="25">
        <v>4000</v>
      </c>
      <c r="F293" s="25">
        <v>5000</v>
      </c>
      <c r="G293" s="25">
        <v>10000</v>
      </c>
      <c r="H293" s="25">
        <v>5000</v>
      </c>
      <c r="I293" s="25">
        <f>K293*0.25</f>
        <v>625</v>
      </c>
      <c r="J293" s="25">
        <f>K293*0.75</f>
        <v>1875</v>
      </c>
      <c r="K293" s="25">
        <v>2500</v>
      </c>
    </row>
    <row r="294" s="1" customFormat="1" ht="27.6" spans="1:12">
      <c r="A294" s="35" t="s">
        <v>336</v>
      </c>
      <c r="B294" s="23" t="s">
        <v>160</v>
      </c>
      <c r="C294" s="23">
        <v>500</v>
      </c>
      <c r="D294" s="30">
        <v>3000</v>
      </c>
      <c r="E294" s="25">
        <v>2000</v>
      </c>
      <c r="F294" s="25">
        <v>5000</v>
      </c>
      <c r="G294" s="25">
        <v>10000</v>
      </c>
      <c r="H294" s="25">
        <v>5000</v>
      </c>
      <c r="I294" s="25">
        <f>K294*0.25</f>
        <v>1875</v>
      </c>
      <c r="J294" s="25">
        <f>K294*0.75</f>
        <v>5625</v>
      </c>
      <c r="K294" s="25">
        <v>7500</v>
      </c>
    </row>
    <row r="295" s="1" customFormat="1" spans="1:12">
      <c r="D295" s="39"/>
      <c r="E295" s="3"/>
      <c r="F295" s="3"/>
      <c r="G295" s="3"/>
      <c r="H295" s="3"/>
      <c r="I295" s="3"/>
      <c r="J295" s="3"/>
      <c r="K295" s="3"/>
      <c r="L295" s="40"/>
    </row>
    <row r="296" s="1" customFormat="1" spans="1:12">
      <c r="D296" s="2"/>
      <c r="E296" s="3"/>
      <c r="F296" s="3"/>
      <c r="G296" s="3"/>
      <c r="H296" s="3"/>
      <c r="I296" s="3"/>
      <c r="J296" s="3"/>
      <c r="K296" s="3"/>
    </row>
    <row r="297" s="1" customFormat="1" spans="1:12">
      <c r="D297" s="2"/>
      <c r="E297" s="3"/>
      <c r="F297" s="3"/>
      <c r="G297" s="3"/>
      <c r="H297" s="3"/>
      <c r="I297" s="3"/>
      <c r="J297" s="3"/>
      <c r="K297" s="3"/>
    </row>
    <row r="298" s="1" customFormat="1" spans="1:12">
      <c r="D298" s="2"/>
      <c r="E298" s="3"/>
      <c r="F298" s="3"/>
      <c r="G298" s="3"/>
      <c r="H298" s="3"/>
      <c r="I298" s="3"/>
      <c r="J298" s="3"/>
      <c r="K298" s="3"/>
    </row>
    <row r="299" s="1" customFormat="1" spans="1:12">
      <c r="D299" s="2"/>
      <c r="E299" s="3"/>
      <c r="F299" s="3"/>
      <c r="G299" s="3"/>
      <c r="H299" s="3"/>
      <c r="I299" s="3"/>
      <c r="J299" s="3"/>
      <c r="K299" s="3"/>
    </row>
    <row r="300" s="1" customFormat="1" spans="1:12">
      <c r="D300" s="2"/>
      <c r="E300" s="3"/>
      <c r="F300" s="3"/>
      <c r="G300" s="3"/>
      <c r="H300" s="3"/>
      <c r="I300" s="3"/>
      <c r="J300" s="3"/>
      <c r="K300" s="3"/>
    </row>
    <row r="301" s="1" customFormat="1" spans="1:12">
      <c r="D301" s="2"/>
      <c r="E301" s="3"/>
      <c r="F301" s="3"/>
      <c r="G301" s="3"/>
      <c r="H301" s="3"/>
      <c r="I301" s="3"/>
      <c r="J301" s="3"/>
      <c r="K301" s="3"/>
    </row>
    <row r="302" s="1" customFormat="1" spans="1:12">
      <c r="D302" s="2"/>
      <c r="E302" s="3"/>
      <c r="F302" s="3"/>
      <c r="G302" s="3"/>
      <c r="H302" s="3"/>
      <c r="I302" s="3"/>
      <c r="J302" s="3"/>
      <c r="K302" s="3"/>
    </row>
    <row r="303" s="1" customFormat="1" spans="1:12">
      <c r="D303" s="2"/>
      <c r="E303" s="3"/>
      <c r="F303" s="3"/>
      <c r="G303" s="3"/>
      <c r="H303" s="3"/>
      <c r="I303" s="3"/>
      <c r="J303" s="3"/>
      <c r="K303" s="3"/>
    </row>
    <row r="304" s="1" customFormat="1" spans="1:12">
      <c r="D304" s="2"/>
      <c r="E304" s="3"/>
      <c r="F304" s="3"/>
      <c r="G304" s="3"/>
      <c r="H304" s="3"/>
      <c r="I304" s="3"/>
      <c r="J304" s="3"/>
      <c r="K304" s="3"/>
    </row>
    <row r="305" s="1" customFormat="1" spans="4:11">
      <c r="D305" s="2"/>
      <c r="E305" s="3"/>
      <c r="F305" s="3"/>
      <c r="G305" s="3"/>
      <c r="H305" s="3"/>
      <c r="I305" s="3"/>
      <c r="J305" s="3"/>
      <c r="K305" s="3"/>
    </row>
    <row r="306" s="1" customFormat="1" spans="4:11">
      <c r="D306" s="2"/>
      <c r="E306" s="3"/>
      <c r="F306" s="3"/>
      <c r="G306" s="3"/>
      <c r="H306" s="3"/>
      <c r="I306" s="3"/>
      <c r="J306" s="3"/>
      <c r="K306" s="3"/>
    </row>
    <row r="307" s="1" customFormat="1" spans="4:11">
      <c r="D307" s="2"/>
      <c r="E307" s="3"/>
      <c r="F307" s="3"/>
      <c r="G307" s="3"/>
      <c r="H307" s="3"/>
      <c r="I307" s="3"/>
      <c r="J307" s="3"/>
      <c r="K307" s="3"/>
    </row>
    <row r="308" s="1" customFormat="1" spans="4:11">
      <c r="D308" s="2"/>
      <c r="E308" s="3"/>
      <c r="F308" s="3"/>
      <c r="G308" s="3"/>
      <c r="H308" s="3"/>
      <c r="I308" s="3"/>
      <c r="J308" s="3"/>
      <c r="K308" s="3"/>
    </row>
    <row r="309" s="1" customFormat="1" spans="4:11">
      <c r="D309" s="2"/>
      <c r="E309" s="3"/>
      <c r="F309" s="3"/>
      <c r="G309" s="3"/>
      <c r="H309" s="3"/>
      <c r="I309" s="3"/>
      <c r="J309" s="3"/>
      <c r="K309" s="3"/>
    </row>
    <row r="310" s="1" customFormat="1" spans="4:11">
      <c r="D310" s="2"/>
      <c r="E310" s="3"/>
      <c r="F310" s="3"/>
      <c r="G310" s="3"/>
      <c r="H310" s="3"/>
      <c r="I310" s="3"/>
      <c r="J310" s="3"/>
      <c r="K310" s="3"/>
    </row>
    <row r="311" s="1" customFormat="1" spans="4:11">
      <c r="D311" s="2"/>
      <c r="E311" s="3"/>
      <c r="F311" s="3"/>
      <c r="G311" s="3"/>
      <c r="H311" s="3"/>
      <c r="I311" s="3"/>
      <c r="J311" s="3"/>
      <c r="K311" s="3"/>
    </row>
    <row r="312" s="1" customFormat="1" spans="4:11">
      <c r="D312" s="2"/>
      <c r="E312" s="3"/>
      <c r="F312" s="3"/>
      <c r="G312" s="3"/>
      <c r="H312" s="3"/>
      <c r="I312" s="3"/>
      <c r="J312" s="3"/>
      <c r="K312" s="3"/>
    </row>
    <row r="313" s="1" customFormat="1" spans="4:11">
      <c r="D313" s="2"/>
      <c r="E313" s="3"/>
      <c r="F313" s="3"/>
      <c r="G313" s="3"/>
      <c r="H313" s="3"/>
      <c r="I313" s="3"/>
      <c r="J313" s="3"/>
      <c r="K313" s="3"/>
    </row>
    <row r="314" s="1" customFormat="1" spans="4:11">
      <c r="D314" s="2"/>
      <c r="E314" s="3"/>
      <c r="F314" s="3"/>
      <c r="G314" s="3"/>
      <c r="H314" s="3"/>
      <c r="I314" s="3"/>
      <c r="J314" s="3"/>
      <c r="K314" s="3"/>
    </row>
    <row r="315" s="1" customFormat="1" spans="4:11">
      <c r="D315" s="2"/>
      <c r="E315" s="3"/>
      <c r="F315" s="3"/>
      <c r="G315" s="3"/>
      <c r="H315" s="3"/>
      <c r="I315" s="3"/>
      <c r="J315" s="3"/>
      <c r="K315" s="3"/>
    </row>
    <row r="316" s="1" customFormat="1" spans="4:11">
      <c r="D316" s="2"/>
      <c r="E316" s="3"/>
      <c r="F316" s="3"/>
      <c r="G316" s="3"/>
      <c r="H316" s="3"/>
      <c r="I316" s="3"/>
      <c r="J316" s="3"/>
      <c r="K316" s="3"/>
    </row>
    <row r="317" s="1" customFormat="1" spans="4:11">
      <c r="D317" s="2"/>
      <c r="E317" s="3"/>
      <c r="F317" s="3"/>
      <c r="G317" s="3"/>
      <c r="H317" s="3"/>
      <c r="I317" s="3"/>
      <c r="J317" s="3"/>
      <c r="K317" s="3"/>
    </row>
    <row r="318" s="1" customFormat="1" spans="4:11">
      <c r="D318" s="2"/>
      <c r="E318" s="3"/>
      <c r="F318" s="3"/>
      <c r="G318" s="3"/>
      <c r="H318" s="3"/>
      <c r="I318" s="3"/>
      <c r="J318" s="3"/>
      <c r="K318" s="3"/>
    </row>
    <row r="319" s="1" customFormat="1" spans="4:11">
      <c r="D319" s="2"/>
      <c r="E319" s="3"/>
      <c r="F319" s="3"/>
      <c r="G319" s="3"/>
      <c r="H319" s="3"/>
      <c r="I319" s="3"/>
      <c r="J319" s="3"/>
      <c r="K319" s="3"/>
    </row>
    <row r="320" s="1" customFormat="1" spans="4:11">
      <c r="D320" s="2"/>
      <c r="E320" s="3"/>
      <c r="F320" s="3"/>
      <c r="G320" s="3"/>
      <c r="H320" s="3"/>
      <c r="I320" s="3"/>
      <c r="J320" s="3"/>
      <c r="K320" s="3"/>
    </row>
    <row r="321" s="1" customFormat="1" spans="4:11">
      <c r="D321" s="2"/>
      <c r="E321" s="3"/>
      <c r="F321" s="3"/>
      <c r="G321" s="3"/>
      <c r="H321" s="3"/>
      <c r="I321" s="3"/>
      <c r="J321" s="3"/>
      <c r="K321" s="3"/>
    </row>
    <row r="322" s="1" customFormat="1" spans="4:11">
      <c r="D322" s="2"/>
      <c r="E322" s="3"/>
      <c r="F322" s="3"/>
      <c r="G322" s="3"/>
      <c r="H322" s="3"/>
      <c r="I322" s="3"/>
      <c r="J322" s="3"/>
      <c r="K322" s="3"/>
    </row>
    <row r="323" s="1" customFormat="1" spans="4:11">
      <c r="D323" s="2"/>
      <c r="E323" s="3"/>
      <c r="F323" s="3"/>
      <c r="G323" s="3"/>
      <c r="H323" s="3"/>
      <c r="I323" s="3"/>
      <c r="J323" s="3"/>
      <c r="K323" s="3"/>
    </row>
    <row r="324" s="1" customFormat="1" spans="4:11">
      <c r="D324" s="2"/>
      <c r="E324" s="3"/>
      <c r="F324" s="3"/>
      <c r="G324" s="3"/>
      <c r="H324" s="3"/>
      <c r="I324" s="3"/>
      <c r="J324" s="3"/>
      <c r="K324" s="3"/>
    </row>
    <row r="325" s="1" customFormat="1" spans="4:11">
      <c r="D325" s="2"/>
      <c r="E325" s="3"/>
      <c r="F325" s="3"/>
      <c r="G325" s="3"/>
      <c r="H325" s="3"/>
      <c r="I325" s="3"/>
      <c r="J325" s="3"/>
      <c r="K325" s="3"/>
    </row>
    <row r="326" s="1" customFormat="1" spans="4:11">
      <c r="D326" s="2"/>
      <c r="E326" s="3"/>
      <c r="F326" s="3"/>
      <c r="G326" s="3"/>
      <c r="H326" s="3"/>
      <c r="I326" s="3"/>
      <c r="J326" s="3"/>
      <c r="K326" s="3"/>
    </row>
    <row r="327" s="1" customFormat="1" spans="4:11">
      <c r="D327" s="2"/>
      <c r="E327" s="3"/>
      <c r="F327" s="3"/>
      <c r="G327" s="3"/>
      <c r="H327" s="3"/>
      <c r="I327" s="3"/>
      <c r="J327" s="3"/>
      <c r="K327" s="3"/>
    </row>
    <row r="328" s="1" customFormat="1" spans="4:11">
      <c r="D328" s="2"/>
      <c r="E328" s="3"/>
      <c r="F328" s="3"/>
      <c r="G328" s="3"/>
      <c r="H328" s="3"/>
      <c r="I328" s="3"/>
      <c r="J328" s="3"/>
      <c r="K328" s="3"/>
    </row>
    <row r="329" s="1" customFormat="1" spans="4:11">
      <c r="D329" s="2"/>
      <c r="E329" s="3"/>
      <c r="F329" s="3"/>
      <c r="G329" s="3"/>
      <c r="H329" s="3"/>
      <c r="I329" s="3"/>
      <c r="J329" s="3"/>
      <c r="K329" s="3"/>
    </row>
    <row r="330" s="1" customFormat="1" spans="4:11">
      <c r="D330" s="2"/>
      <c r="E330" s="3"/>
      <c r="F330" s="3"/>
      <c r="G330" s="3"/>
      <c r="H330" s="3"/>
      <c r="I330" s="3"/>
      <c r="J330" s="3"/>
      <c r="K330" s="3"/>
    </row>
    <row r="331" s="1" customFormat="1" spans="4:11">
      <c r="D331" s="2"/>
      <c r="E331" s="3"/>
      <c r="F331" s="3"/>
      <c r="G331" s="3"/>
      <c r="H331" s="3"/>
      <c r="I331" s="3"/>
      <c r="J331" s="3"/>
      <c r="K331" s="3"/>
    </row>
    <row r="332" s="1" customFormat="1" spans="4:11">
      <c r="D332" s="2"/>
      <c r="E332" s="3"/>
      <c r="F332" s="3"/>
      <c r="G332" s="3"/>
      <c r="H332" s="3"/>
      <c r="I332" s="3"/>
      <c r="J332" s="3"/>
      <c r="K332" s="3"/>
    </row>
    <row r="333" s="1" customFormat="1" spans="4:11">
      <c r="D333" s="2"/>
      <c r="E333" s="3"/>
      <c r="F333" s="3"/>
      <c r="G333" s="3"/>
      <c r="H333" s="3"/>
      <c r="I333" s="3"/>
      <c r="J333" s="3"/>
      <c r="K333" s="3"/>
    </row>
    <row r="334" s="1" customFormat="1" spans="4:11">
      <c r="D334" s="2"/>
      <c r="E334" s="3"/>
      <c r="F334" s="3"/>
      <c r="G334" s="3"/>
      <c r="H334" s="3"/>
      <c r="I334" s="3"/>
      <c r="J334" s="3"/>
      <c r="K334" s="3"/>
    </row>
    <row r="335" s="1" customFormat="1" spans="4:11">
      <c r="D335" s="2"/>
      <c r="E335" s="3"/>
      <c r="F335" s="3"/>
      <c r="G335" s="3"/>
      <c r="H335" s="3"/>
      <c r="I335" s="3"/>
      <c r="J335" s="3"/>
      <c r="K335" s="3"/>
    </row>
    <row r="336" s="1" customFormat="1" spans="4:11">
      <c r="D336" s="2"/>
      <c r="E336" s="3"/>
      <c r="F336" s="3"/>
      <c r="G336" s="3"/>
      <c r="H336" s="3"/>
      <c r="I336" s="3"/>
      <c r="J336" s="3"/>
      <c r="K336" s="3"/>
    </row>
    <row r="337" s="1" customFormat="1" spans="4:11">
      <c r="D337" s="2"/>
      <c r="E337" s="3"/>
      <c r="F337" s="3"/>
      <c r="G337" s="3"/>
      <c r="H337" s="3"/>
      <c r="I337" s="3"/>
      <c r="J337" s="3"/>
      <c r="K337" s="3"/>
    </row>
    <row r="338" s="1" customFormat="1" spans="4:11">
      <c r="D338" s="2"/>
      <c r="E338" s="3"/>
      <c r="F338" s="3"/>
      <c r="G338" s="3"/>
      <c r="H338" s="3"/>
      <c r="I338" s="3"/>
      <c r="J338" s="3"/>
      <c r="K338" s="3"/>
    </row>
    <row r="339" s="1" customFormat="1" spans="4:11">
      <c r="D339" s="2"/>
      <c r="E339" s="3"/>
      <c r="F339" s="3"/>
      <c r="G339" s="3"/>
      <c r="H339" s="3"/>
      <c r="I339" s="3"/>
      <c r="J339" s="3"/>
      <c r="K339" s="3"/>
    </row>
    <row r="340" s="1" customFormat="1" spans="4:11">
      <c r="D340" s="2"/>
      <c r="E340" s="3"/>
      <c r="F340" s="3"/>
      <c r="G340" s="3"/>
      <c r="H340" s="3"/>
      <c r="I340" s="3"/>
      <c r="J340" s="3"/>
      <c r="K340" s="3"/>
    </row>
    <row r="341" s="1" customFormat="1" spans="4:11">
      <c r="D341" s="2"/>
      <c r="E341" s="3"/>
      <c r="F341" s="3"/>
      <c r="G341" s="3"/>
      <c r="H341" s="3"/>
      <c r="I341" s="3"/>
      <c r="J341" s="3"/>
      <c r="K341" s="3"/>
    </row>
    <row r="342" s="1" customFormat="1" spans="4:11">
      <c r="D342" s="2"/>
      <c r="E342" s="3"/>
      <c r="F342" s="3"/>
      <c r="G342" s="3"/>
      <c r="H342" s="3"/>
      <c r="I342" s="3"/>
      <c r="J342" s="3"/>
      <c r="K342" s="3"/>
    </row>
    <row r="343" s="1" customFormat="1" spans="4:11">
      <c r="D343" s="2"/>
      <c r="E343" s="3"/>
      <c r="F343" s="3"/>
      <c r="G343" s="3"/>
      <c r="H343" s="3"/>
      <c r="I343" s="3"/>
      <c r="J343" s="3"/>
      <c r="K343" s="3"/>
    </row>
    <row r="344" s="1" customFormat="1" spans="4:11">
      <c r="D344" s="2"/>
      <c r="E344" s="3"/>
      <c r="F344" s="3"/>
      <c r="G344" s="3"/>
      <c r="H344" s="3"/>
      <c r="I344" s="3"/>
      <c r="J344" s="3"/>
      <c r="K344" s="3"/>
    </row>
    <row r="345" s="1" customFormat="1" spans="4:11">
      <c r="D345" s="2"/>
      <c r="E345" s="3"/>
      <c r="F345" s="3"/>
      <c r="G345" s="3"/>
      <c r="H345" s="3"/>
      <c r="I345" s="3"/>
      <c r="J345" s="3"/>
      <c r="K345" s="3"/>
    </row>
    <row r="346" s="1" customFormat="1" spans="4:11">
      <c r="D346" s="2"/>
      <c r="E346" s="3"/>
      <c r="F346" s="3"/>
      <c r="G346" s="3"/>
      <c r="H346" s="3"/>
      <c r="I346" s="3"/>
      <c r="J346" s="3"/>
      <c r="K346" s="3"/>
    </row>
    <row r="347" s="1" customFormat="1" spans="4:11">
      <c r="D347" s="2"/>
      <c r="E347" s="3"/>
      <c r="F347" s="3"/>
      <c r="G347" s="3"/>
      <c r="H347" s="3"/>
      <c r="I347" s="3"/>
      <c r="J347" s="3"/>
      <c r="K347" s="3"/>
    </row>
    <row r="348" s="1" customFormat="1" spans="4:11">
      <c r="D348" s="2"/>
      <c r="E348" s="3"/>
      <c r="F348" s="3"/>
      <c r="G348" s="3"/>
      <c r="H348" s="3"/>
      <c r="I348" s="3"/>
      <c r="J348" s="3"/>
      <c r="K348" s="3"/>
    </row>
    <row r="349" s="1" customFormat="1" spans="4:11">
      <c r="D349" s="2"/>
      <c r="E349" s="3"/>
      <c r="F349" s="3"/>
      <c r="G349" s="3"/>
      <c r="H349" s="3"/>
      <c r="I349" s="3"/>
      <c r="J349" s="3"/>
      <c r="K349" s="3"/>
    </row>
    <row r="350" s="1" customFormat="1" spans="4:11">
      <c r="D350" s="2"/>
      <c r="E350" s="3"/>
      <c r="F350" s="3"/>
      <c r="G350" s="3"/>
      <c r="H350" s="3"/>
      <c r="I350" s="3"/>
      <c r="J350" s="3"/>
      <c r="K350" s="3"/>
    </row>
    <row r="351" s="1" customFormat="1" spans="4:11">
      <c r="D351" s="2"/>
      <c r="E351" s="3"/>
      <c r="F351" s="3"/>
      <c r="G351" s="3"/>
      <c r="H351" s="3"/>
      <c r="I351" s="3"/>
      <c r="J351" s="3"/>
      <c r="K351" s="3"/>
    </row>
    <row r="352" s="1" customFormat="1" spans="4:11">
      <c r="D352" s="2"/>
      <c r="E352" s="3"/>
      <c r="F352" s="3"/>
      <c r="G352" s="3"/>
      <c r="H352" s="3"/>
      <c r="I352" s="3"/>
      <c r="J352" s="3"/>
      <c r="K352" s="3"/>
    </row>
    <row r="353" s="1" customFormat="1" spans="4:11">
      <c r="D353" s="2"/>
      <c r="E353" s="3"/>
      <c r="F353" s="3"/>
      <c r="G353" s="3"/>
      <c r="H353" s="3"/>
      <c r="I353" s="3"/>
      <c r="J353" s="3"/>
      <c r="K353" s="3"/>
    </row>
    <row r="354" s="1" customFormat="1" spans="4:11">
      <c r="D354" s="2"/>
      <c r="E354" s="3"/>
      <c r="F354" s="3"/>
      <c r="G354" s="3"/>
      <c r="H354" s="3"/>
      <c r="I354" s="3"/>
      <c r="J354" s="3"/>
      <c r="K354" s="3"/>
    </row>
    <row r="355" s="1" customFormat="1" spans="4:11">
      <c r="D355" s="2"/>
      <c r="E355" s="3"/>
      <c r="F355" s="3"/>
      <c r="G355" s="3"/>
      <c r="H355" s="3"/>
      <c r="I355" s="3"/>
      <c r="J355" s="3"/>
      <c r="K355" s="3"/>
    </row>
    <row r="356" s="1" customFormat="1" spans="4:11">
      <c r="D356" s="2"/>
      <c r="E356" s="3"/>
      <c r="F356" s="3"/>
      <c r="G356" s="3"/>
      <c r="H356" s="3"/>
      <c r="I356" s="3"/>
      <c r="J356" s="3"/>
      <c r="K356" s="3"/>
    </row>
    <row r="357" s="1" customFormat="1" spans="4:11">
      <c r="D357" s="2"/>
      <c r="E357" s="3"/>
      <c r="F357" s="3"/>
      <c r="G357" s="3"/>
      <c r="H357" s="3"/>
      <c r="I357" s="3"/>
      <c r="J357" s="3"/>
      <c r="K357" s="3"/>
    </row>
    <row r="358" s="1" customFormat="1" spans="4:11">
      <c r="D358" s="2"/>
      <c r="E358" s="3"/>
      <c r="F358" s="3"/>
      <c r="G358" s="3"/>
      <c r="H358" s="3"/>
      <c r="I358" s="3"/>
      <c r="J358" s="3"/>
      <c r="K358" s="3"/>
    </row>
    <row r="359" s="1" customFormat="1" spans="4:11">
      <c r="D359" s="2"/>
      <c r="E359" s="3"/>
      <c r="F359" s="3"/>
      <c r="G359" s="3"/>
      <c r="H359" s="3"/>
      <c r="I359" s="3"/>
      <c r="J359" s="3"/>
      <c r="K359" s="3"/>
    </row>
    <row r="360" s="1" customFormat="1" spans="4:11">
      <c r="D360" s="2"/>
      <c r="E360" s="3"/>
      <c r="F360" s="3"/>
      <c r="G360" s="3"/>
      <c r="H360" s="3"/>
      <c r="I360" s="3"/>
      <c r="J360" s="3"/>
      <c r="K360" s="3"/>
    </row>
    <row r="361" s="1" customFormat="1" spans="4:11">
      <c r="D361" s="2"/>
      <c r="E361" s="3"/>
      <c r="F361" s="3"/>
      <c r="G361" s="3"/>
      <c r="H361" s="3"/>
      <c r="I361" s="3"/>
      <c r="J361" s="3"/>
      <c r="K361" s="3"/>
    </row>
    <row r="362" s="1" customFormat="1" spans="4:11">
      <c r="D362" s="2"/>
      <c r="E362" s="3"/>
      <c r="F362" s="3"/>
      <c r="G362" s="3"/>
      <c r="H362" s="3"/>
      <c r="I362" s="3"/>
      <c r="J362" s="3"/>
      <c r="K362" s="3"/>
    </row>
    <row r="363" s="1" customFormat="1" spans="4:11">
      <c r="D363" s="2"/>
      <c r="E363" s="3"/>
      <c r="F363" s="3"/>
      <c r="G363" s="3"/>
      <c r="H363" s="3"/>
      <c r="I363" s="3"/>
      <c r="J363" s="3"/>
      <c r="K363" s="3"/>
    </row>
    <row r="364" s="1" customFormat="1" spans="4:11">
      <c r="D364" s="2"/>
      <c r="E364" s="3"/>
      <c r="F364" s="3"/>
      <c r="G364" s="3"/>
      <c r="H364" s="3"/>
      <c r="I364" s="3"/>
      <c r="J364" s="3"/>
      <c r="K364" s="3"/>
    </row>
    <row r="365" s="1" customFormat="1" spans="4:11">
      <c r="D365" s="2"/>
      <c r="E365" s="3"/>
      <c r="F365" s="3"/>
      <c r="G365" s="3"/>
      <c r="H365" s="3"/>
      <c r="I365" s="3"/>
      <c r="J365" s="3"/>
      <c r="K365" s="3"/>
    </row>
    <row r="366" s="1" customFormat="1" spans="4:11">
      <c r="D366" s="2"/>
      <c r="E366" s="3"/>
      <c r="F366" s="3"/>
      <c r="G366" s="3"/>
      <c r="H366" s="3"/>
      <c r="I366" s="3"/>
      <c r="J366" s="3"/>
      <c r="K366" s="3"/>
    </row>
    <row r="367" s="1" customFormat="1" spans="4:11">
      <c r="D367" s="2"/>
      <c r="E367" s="3"/>
      <c r="F367" s="3"/>
      <c r="G367" s="3"/>
      <c r="H367" s="3"/>
      <c r="I367" s="3"/>
      <c r="J367" s="3"/>
      <c r="K367" s="3"/>
    </row>
    <row r="368" s="1" customFormat="1" spans="4:11">
      <c r="D368" s="2"/>
      <c r="E368" s="3"/>
      <c r="F368" s="3"/>
      <c r="G368" s="3"/>
      <c r="H368" s="3"/>
      <c r="I368" s="3"/>
      <c r="J368" s="3"/>
      <c r="K368" s="3"/>
    </row>
    <row r="369" s="1" customFormat="1" spans="4:11">
      <c r="D369" s="2"/>
      <c r="E369" s="3"/>
      <c r="F369" s="3"/>
      <c r="G369" s="3"/>
      <c r="H369" s="3"/>
      <c r="I369" s="3"/>
      <c r="J369" s="3"/>
      <c r="K369" s="3"/>
    </row>
    <row r="370" s="1" customFormat="1" spans="4:11">
      <c r="D370" s="2"/>
      <c r="E370" s="3"/>
      <c r="F370" s="3"/>
      <c r="G370" s="3"/>
      <c r="H370" s="3"/>
      <c r="I370" s="3"/>
      <c r="J370" s="3"/>
      <c r="K370" s="3"/>
    </row>
    <row r="371" s="1" customFormat="1" spans="4:11">
      <c r="D371" s="2"/>
      <c r="E371" s="3"/>
      <c r="F371" s="3"/>
      <c r="G371" s="3"/>
      <c r="H371" s="3"/>
      <c r="I371" s="3"/>
      <c r="J371" s="3"/>
      <c r="K371" s="3"/>
    </row>
    <row r="372" s="1" customFormat="1" spans="4:11">
      <c r="D372" s="2"/>
      <c r="E372" s="3"/>
      <c r="F372" s="3"/>
      <c r="G372" s="3"/>
      <c r="H372" s="3"/>
      <c r="I372" s="3"/>
      <c r="J372" s="3"/>
      <c r="K372" s="3"/>
    </row>
    <row r="373" s="1" customFormat="1" spans="4:11">
      <c r="D373" s="2"/>
      <c r="E373" s="3"/>
      <c r="F373" s="3"/>
      <c r="G373" s="3"/>
      <c r="H373" s="3"/>
      <c r="I373" s="3"/>
      <c r="J373" s="3"/>
      <c r="K373" s="3"/>
    </row>
    <row r="374" s="1" customFormat="1" spans="4:11">
      <c r="D374" s="2"/>
      <c r="E374" s="3"/>
      <c r="F374" s="3"/>
      <c r="G374" s="3"/>
      <c r="H374" s="3"/>
      <c r="I374" s="3"/>
      <c r="J374" s="3"/>
      <c r="K374" s="3"/>
    </row>
    <row r="375" s="1" customFormat="1" spans="4:11">
      <c r="D375" s="2"/>
      <c r="E375" s="3"/>
      <c r="F375" s="3"/>
      <c r="G375" s="3"/>
      <c r="H375" s="3"/>
      <c r="I375" s="3"/>
      <c r="J375" s="3"/>
      <c r="K375" s="3"/>
    </row>
    <row r="376" s="1" customFormat="1" spans="4:11">
      <c r="D376" s="2"/>
      <c r="E376" s="3"/>
      <c r="F376" s="3"/>
      <c r="G376" s="3"/>
      <c r="H376" s="3"/>
      <c r="I376" s="3"/>
      <c r="J376" s="3"/>
      <c r="K376" s="3"/>
    </row>
    <row r="377" s="1" customFormat="1" spans="4:11">
      <c r="D377" s="2"/>
      <c r="E377" s="3"/>
      <c r="F377" s="3"/>
      <c r="G377" s="3"/>
      <c r="H377" s="3"/>
      <c r="I377" s="3"/>
      <c r="J377" s="3"/>
      <c r="K377" s="3"/>
    </row>
    <row r="378" s="1" customFormat="1" spans="4:11">
      <c r="D378" s="2"/>
      <c r="E378" s="3"/>
      <c r="F378" s="3"/>
      <c r="G378" s="3"/>
      <c r="H378" s="3"/>
      <c r="I378" s="3"/>
      <c r="J378" s="3"/>
      <c r="K378" s="3"/>
    </row>
    <row r="379" s="1" customFormat="1" spans="4:11">
      <c r="D379" s="2"/>
      <c r="E379" s="3"/>
      <c r="F379" s="3"/>
      <c r="G379" s="3"/>
      <c r="H379" s="3"/>
      <c r="I379" s="3"/>
      <c r="J379" s="3"/>
      <c r="K379" s="3"/>
    </row>
    <row r="380" s="1" customFormat="1" spans="4:11">
      <c r="D380" s="2"/>
      <c r="E380" s="3"/>
      <c r="F380" s="3"/>
      <c r="G380" s="3"/>
      <c r="H380" s="3"/>
      <c r="I380" s="3"/>
      <c r="J380" s="3"/>
      <c r="K380" s="3"/>
    </row>
    <row r="381" s="1" customFormat="1" spans="4:11">
      <c r="D381" s="2"/>
      <c r="E381" s="3"/>
      <c r="F381" s="3"/>
      <c r="G381" s="3"/>
      <c r="H381" s="3"/>
      <c r="I381" s="3"/>
      <c r="J381" s="3"/>
      <c r="K381" s="3"/>
    </row>
    <row r="382" s="1" customFormat="1" spans="4:11">
      <c r="D382" s="2"/>
      <c r="E382" s="3"/>
      <c r="F382" s="3"/>
      <c r="G382" s="3"/>
      <c r="H382" s="3"/>
      <c r="I382" s="3"/>
      <c r="J382" s="3"/>
      <c r="K382" s="3"/>
    </row>
    <row r="383" s="1" customFormat="1" spans="4:11">
      <c r="D383" s="2"/>
      <c r="E383" s="3"/>
      <c r="F383" s="3"/>
      <c r="G383" s="3"/>
      <c r="H383" s="3"/>
      <c r="I383" s="3"/>
      <c r="J383" s="3"/>
      <c r="K383" s="3"/>
    </row>
    <row r="384" s="1" customFormat="1" spans="4:11">
      <c r="D384" s="2"/>
      <c r="E384" s="3"/>
      <c r="F384" s="3"/>
      <c r="G384" s="3"/>
      <c r="H384" s="3"/>
      <c r="I384" s="3"/>
      <c r="J384" s="3"/>
      <c r="K384" s="3"/>
    </row>
    <row r="385" s="1" customFormat="1" spans="4:11">
      <c r="D385" s="2"/>
      <c r="E385" s="3"/>
      <c r="F385" s="3"/>
      <c r="G385" s="3"/>
      <c r="H385" s="3"/>
      <c r="I385" s="3"/>
      <c r="J385" s="3"/>
      <c r="K385" s="3"/>
    </row>
    <row r="386" s="1" customFormat="1" spans="4:11">
      <c r="D386" s="2"/>
      <c r="E386" s="3"/>
      <c r="F386" s="3"/>
      <c r="G386" s="3"/>
      <c r="H386" s="3"/>
      <c r="I386" s="3"/>
      <c r="J386" s="3"/>
      <c r="K386" s="3"/>
    </row>
    <row r="387" s="1" customFormat="1" spans="4:11">
      <c r="D387" s="2"/>
      <c r="E387" s="3"/>
      <c r="F387" s="3"/>
      <c r="G387" s="3"/>
      <c r="H387" s="3"/>
      <c r="I387" s="3"/>
      <c r="J387" s="3"/>
      <c r="K387" s="3"/>
    </row>
    <row r="388" s="1" customFormat="1" spans="4:11">
      <c r="D388" s="2"/>
      <c r="E388" s="3"/>
      <c r="F388" s="3"/>
      <c r="G388" s="3"/>
      <c r="H388" s="3"/>
      <c r="I388" s="3"/>
      <c r="J388" s="3"/>
      <c r="K388" s="3"/>
    </row>
    <row r="389" s="1" customFormat="1" spans="4:11">
      <c r="D389" s="2"/>
      <c r="E389" s="3"/>
      <c r="F389" s="3"/>
      <c r="G389" s="3"/>
      <c r="H389" s="3"/>
      <c r="I389" s="3"/>
      <c r="J389" s="3"/>
      <c r="K389" s="3"/>
    </row>
    <row r="390" s="1" customFormat="1" spans="4:11">
      <c r="D390" s="2"/>
      <c r="E390" s="3"/>
      <c r="F390" s="3"/>
      <c r="G390" s="3"/>
      <c r="H390" s="3"/>
      <c r="I390" s="3"/>
      <c r="J390" s="3"/>
      <c r="K390" s="3"/>
    </row>
    <row r="391" s="1" customFormat="1" spans="4:11">
      <c r="D391" s="2"/>
      <c r="E391" s="3"/>
      <c r="F391" s="3"/>
      <c r="G391" s="3"/>
      <c r="H391" s="3"/>
      <c r="I391" s="3"/>
      <c r="J391" s="3"/>
      <c r="K391" s="3"/>
    </row>
    <row r="392" s="1" customFormat="1" spans="4:11">
      <c r="D392" s="2"/>
      <c r="E392" s="3"/>
      <c r="F392" s="3"/>
      <c r="G392" s="3"/>
      <c r="H392" s="3"/>
      <c r="I392" s="3"/>
      <c r="J392" s="3"/>
      <c r="K392" s="3"/>
    </row>
    <row r="393" s="1" customFormat="1" spans="4:11">
      <c r="D393" s="2"/>
      <c r="E393" s="3"/>
      <c r="F393" s="3"/>
      <c r="G393" s="3"/>
      <c r="H393" s="3"/>
      <c r="I393" s="3"/>
      <c r="J393" s="3"/>
      <c r="K393" s="3"/>
    </row>
    <row r="394" s="1" customFormat="1" spans="4:11">
      <c r="D394" s="2"/>
      <c r="E394" s="3"/>
      <c r="F394" s="3"/>
      <c r="G394" s="3"/>
      <c r="H394" s="3"/>
      <c r="I394" s="3"/>
      <c r="J394" s="3"/>
      <c r="K394" s="3"/>
    </row>
    <row r="395" s="1" customFormat="1" spans="4:11">
      <c r="D395" s="2"/>
      <c r="E395" s="3"/>
      <c r="F395" s="3"/>
      <c r="G395" s="3"/>
      <c r="H395" s="3"/>
      <c r="I395" s="3"/>
      <c r="J395" s="3"/>
      <c r="K395" s="3"/>
    </row>
    <row r="396" s="1" customFormat="1" spans="4:11">
      <c r="D396" s="2"/>
      <c r="E396" s="3"/>
      <c r="F396" s="3"/>
      <c r="G396" s="3"/>
      <c r="H396" s="3"/>
      <c r="I396" s="3"/>
      <c r="J396" s="3"/>
      <c r="K396" s="3"/>
    </row>
    <row r="397" s="1" customFormat="1" spans="4:11">
      <c r="D397" s="2"/>
      <c r="E397" s="3"/>
      <c r="F397" s="3"/>
      <c r="G397" s="3"/>
      <c r="H397" s="3"/>
      <c r="I397" s="3"/>
      <c r="J397" s="3"/>
      <c r="K397" s="3"/>
    </row>
    <row r="398" s="1" customFormat="1" spans="4:11">
      <c r="D398" s="2"/>
      <c r="E398" s="3"/>
      <c r="F398" s="3"/>
      <c r="G398" s="3"/>
      <c r="H398" s="3"/>
      <c r="I398" s="3"/>
      <c r="J398" s="3"/>
      <c r="K398" s="3"/>
    </row>
    <row r="399" s="1" customFormat="1" spans="4:11">
      <c r="D399" s="2"/>
      <c r="E399" s="3"/>
      <c r="F399" s="3"/>
      <c r="G399" s="3"/>
      <c r="H399" s="3"/>
      <c r="I399" s="3"/>
      <c r="J399" s="3"/>
      <c r="K399" s="3"/>
    </row>
    <row r="400" s="1" customFormat="1" spans="4:11">
      <c r="D400" s="2"/>
      <c r="E400" s="3"/>
      <c r="F400" s="3"/>
      <c r="G400" s="3"/>
      <c r="H400" s="3"/>
      <c r="I400" s="3"/>
      <c r="J400" s="3"/>
      <c r="K400" s="3"/>
    </row>
    <row r="401" s="1" customFormat="1" spans="4:11">
      <c r="D401" s="2"/>
      <c r="E401" s="3"/>
      <c r="F401" s="3"/>
      <c r="G401" s="3"/>
      <c r="H401" s="3"/>
      <c r="I401" s="3"/>
      <c r="J401" s="3"/>
      <c r="K401" s="3"/>
    </row>
    <row r="402" s="1" customFormat="1" spans="4:11">
      <c r="D402" s="2"/>
      <c r="E402" s="3"/>
      <c r="F402" s="3"/>
      <c r="G402" s="3"/>
      <c r="H402" s="3"/>
      <c r="I402" s="3"/>
      <c r="J402" s="3"/>
      <c r="K402" s="3"/>
    </row>
    <row r="403" s="1" customFormat="1" spans="4:11">
      <c r="D403" s="2"/>
      <c r="E403" s="3"/>
      <c r="F403" s="3"/>
      <c r="G403" s="3"/>
      <c r="H403" s="3"/>
      <c r="I403" s="3"/>
      <c r="J403" s="3"/>
      <c r="K403" s="3"/>
    </row>
    <row r="404" s="1" customFormat="1" spans="4:11">
      <c r="D404" s="2"/>
      <c r="E404" s="3"/>
      <c r="F404" s="3"/>
      <c r="G404" s="3"/>
      <c r="H404" s="3"/>
      <c r="I404" s="3"/>
      <c r="J404" s="3"/>
      <c r="K404" s="3"/>
    </row>
    <row r="405" s="1" customFormat="1" spans="4:11">
      <c r="D405" s="2"/>
      <c r="E405" s="3"/>
      <c r="F405" s="3"/>
      <c r="G405" s="3"/>
      <c r="H405" s="3"/>
      <c r="I405" s="3"/>
      <c r="J405" s="3"/>
      <c r="K405" s="3"/>
    </row>
    <row r="406" s="1" customFormat="1" spans="4:11">
      <c r="D406" s="2"/>
      <c r="E406" s="3"/>
      <c r="F406" s="3"/>
      <c r="G406" s="3"/>
      <c r="H406" s="3"/>
      <c r="I406" s="3"/>
      <c r="J406" s="3"/>
      <c r="K406" s="3"/>
    </row>
    <row r="407" s="1" customFormat="1" spans="4:11">
      <c r="D407" s="2"/>
      <c r="E407" s="3"/>
      <c r="F407" s="3"/>
      <c r="G407" s="3"/>
      <c r="H407" s="3"/>
      <c r="I407" s="3"/>
      <c r="J407" s="3"/>
      <c r="K407" s="3"/>
    </row>
    <row r="408" s="1" customFormat="1" spans="4:11">
      <c r="D408" s="2"/>
      <c r="E408" s="3"/>
      <c r="F408" s="3"/>
      <c r="G408" s="3"/>
      <c r="H408" s="3"/>
      <c r="I408" s="3"/>
      <c r="J408" s="3"/>
      <c r="K408" s="3"/>
    </row>
    <row r="409" s="1" customFormat="1" spans="4:11">
      <c r="D409" s="2"/>
      <c r="E409" s="3"/>
      <c r="F409" s="3"/>
      <c r="G409" s="3"/>
      <c r="H409" s="3"/>
      <c r="I409" s="3"/>
      <c r="J409" s="3"/>
      <c r="K409" s="3"/>
    </row>
    <row r="410" s="1" customFormat="1" spans="4:11">
      <c r="D410" s="2"/>
      <c r="E410" s="3"/>
      <c r="F410" s="3"/>
      <c r="G410" s="3"/>
      <c r="H410" s="3"/>
      <c r="I410" s="3"/>
      <c r="J410" s="3"/>
      <c r="K410" s="3"/>
    </row>
    <row r="411" s="1" customFormat="1" spans="4:11">
      <c r="D411" s="2"/>
      <c r="E411" s="3"/>
      <c r="F411" s="3"/>
      <c r="G411" s="3"/>
      <c r="H411" s="3"/>
      <c r="I411" s="3"/>
      <c r="J411" s="3"/>
      <c r="K411" s="3"/>
    </row>
    <row r="412" s="1" customFormat="1" spans="4:11">
      <c r="D412" s="2"/>
      <c r="E412" s="3"/>
      <c r="F412" s="3"/>
      <c r="G412" s="3"/>
      <c r="H412" s="3"/>
      <c r="I412" s="3"/>
      <c r="J412" s="3"/>
      <c r="K412" s="3"/>
    </row>
    <row r="413" s="1" customFormat="1" spans="4:11">
      <c r="D413" s="2"/>
      <c r="E413" s="3"/>
      <c r="F413" s="3"/>
      <c r="G413" s="3"/>
      <c r="H413" s="3"/>
      <c r="I413" s="3"/>
      <c r="J413" s="3"/>
      <c r="K413" s="3"/>
    </row>
    <row r="414" s="1" customFormat="1" spans="4:11">
      <c r="D414" s="2"/>
      <c r="E414" s="3"/>
      <c r="F414" s="3"/>
      <c r="G414" s="3"/>
      <c r="H414" s="3"/>
      <c r="I414" s="3"/>
      <c r="J414" s="3"/>
      <c r="K414" s="3"/>
    </row>
    <row r="415" s="1" customFormat="1" spans="4:11">
      <c r="D415" s="2"/>
      <c r="E415" s="3"/>
      <c r="F415" s="3"/>
      <c r="G415" s="3"/>
      <c r="H415" s="3"/>
      <c r="I415" s="3"/>
      <c r="J415" s="3"/>
      <c r="K415" s="3"/>
    </row>
    <row r="416" s="1" customFormat="1" spans="4:11">
      <c r="D416" s="2"/>
      <c r="E416" s="3"/>
      <c r="F416" s="3"/>
      <c r="G416" s="3"/>
      <c r="H416" s="3"/>
      <c r="I416" s="3"/>
      <c r="J416" s="3"/>
      <c r="K416" s="3"/>
    </row>
    <row r="417" s="1" customFormat="1" spans="4:11">
      <c r="D417" s="2"/>
      <c r="E417" s="3"/>
      <c r="F417" s="3"/>
      <c r="G417" s="3"/>
      <c r="H417" s="3"/>
      <c r="I417" s="3"/>
      <c r="J417" s="3"/>
      <c r="K417" s="3"/>
    </row>
    <row r="418" s="1" customFormat="1" spans="4:11">
      <c r="D418" s="2"/>
      <c r="E418" s="3"/>
      <c r="F418" s="3"/>
      <c r="G418" s="3"/>
      <c r="H418" s="3"/>
      <c r="I418" s="3"/>
      <c r="J418" s="3"/>
      <c r="K418" s="3"/>
    </row>
    <row r="419" s="1" customFormat="1" spans="4:11">
      <c r="D419" s="2"/>
      <c r="E419" s="3"/>
      <c r="F419" s="3"/>
      <c r="G419" s="3"/>
      <c r="H419" s="3"/>
      <c r="I419" s="3"/>
      <c r="J419" s="3"/>
      <c r="K419" s="3"/>
    </row>
    <row r="420" s="1" customFormat="1" spans="4:11">
      <c r="D420" s="2"/>
      <c r="E420" s="3"/>
      <c r="F420" s="3"/>
      <c r="G420" s="3"/>
      <c r="H420" s="3"/>
      <c r="I420" s="3"/>
      <c r="J420" s="3"/>
      <c r="K420" s="3"/>
    </row>
    <row r="421" s="1" customFormat="1" spans="4:11">
      <c r="D421" s="2"/>
      <c r="E421" s="3"/>
      <c r="F421" s="3"/>
      <c r="G421" s="3"/>
      <c r="H421" s="3"/>
      <c r="I421" s="3"/>
      <c r="J421" s="3"/>
      <c r="K421" s="3"/>
    </row>
    <row r="422" s="1" customFormat="1" spans="4:11">
      <c r="D422" s="2"/>
      <c r="E422" s="3"/>
      <c r="F422" s="3"/>
      <c r="G422" s="3"/>
      <c r="H422" s="3"/>
      <c r="I422" s="3"/>
      <c r="J422" s="3"/>
      <c r="K422" s="3"/>
    </row>
    <row r="423" s="1" customFormat="1" spans="4:11">
      <c r="D423" s="2"/>
      <c r="E423" s="3"/>
      <c r="F423" s="3"/>
      <c r="G423" s="3"/>
      <c r="H423" s="3"/>
      <c r="I423" s="3"/>
      <c r="J423" s="3"/>
      <c r="K423" s="3"/>
    </row>
    <row r="424" s="1" customFormat="1" spans="4:11">
      <c r="D424" s="2"/>
      <c r="E424" s="3"/>
      <c r="F424" s="3"/>
      <c r="G424" s="3"/>
      <c r="H424" s="3"/>
      <c r="I424" s="3"/>
      <c r="J424" s="3"/>
      <c r="K424" s="3"/>
    </row>
    <row r="425" s="1" customFormat="1" spans="4:11">
      <c r="D425" s="2"/>
      <c r="E425" s="3"/>
      <c r="F425" s="3"/>
      <c r="G425" s="3"/>
      <c r="H425" s="3"/>
      <c r="I425" s="3"/>
      <c r="J425" s="3"/>
      <c r="K425" s="3"/>
    </row>
    <row r="426" s="1" customFormat="1" spans="4:11">
      <c r="D426" s="2"/>
      <c r="E426" s="3"/>
      <c r="F426" s="3"/>
      <c r="G426" s="3"/>
      <c r="H426" s="3"/>
      <c r="I426" s="3"/>
      <c r="J426" s="3"/>
      <c r="K426" s="3"/>
    </row>
    <row r="427" s="1" customFormat="1" spans="4:11">
      <c r="D427" s="2"/>
      <c r="E427" s="3"/>
      <c r="F427" s="3"/>
      <c r="G427" s="3"/>
      <c r="H427" s="3"/>
      <c r="I427" s="3"/>
      <c r="J427" s="3"/>
      <c r="K427" s="3"/>
    </row>
    <row r="428" s="1" customFormat="1" spans="4:11">
      <c r="D428" s="2"/>
      <c r="E428" s="3"/>
      <c r="F428" s="3"/>
      <c r="G428" s="3"/>
      <c r="H428" s="3"/>
      <c r="I428" s="3"/>
      <c r="J428" s="3"/>
      <c r="K428" s="3"/>
    </row>
    <row r="429" s="1" customFormat="1" spans="4:11">
      <c r="D429" s="2"/>
      <c r="E429" s="3"/>
      <c r="F429" s="3"/>
      <c r="G429" s="3"/>
      <c r="H429" s="3"/>
      <c r="I429" s="3"/>
      <c r="J429" s="3"/>
      <c r="K429" s="3"/>
    </row>
    <row r="430" s="1" customFormat="1" spans="4:11">
      <c r="D430" s="2"/>
      <c r="E430" s="3"/>
      <c r="F430" s="3"/>
      <c r="G430" s="3"/>
      <c r="H430" s="3"/>
      <c r="I430" s="3"/>
      <c r="J430" s="3"/>
      <c r="K430" s="3"/>
    </row>
    <row r="431" s="1" customFormat="1" spans="4:11">
      <c r="D431" s="2"/>
      <c r="E431" s="3"/>
      <c r="F431" s="3"/>
      <c r="G431" s="3"/>
      <c r="H431" s="3"/>
      <c r="I431" s="3"/>
      <c r="J431" s="3"/>
      <c r="K431" s="3"/>
    </row>
    <row r="432" s="1" customFormat="1" spans="4:11">
      <c r="D432" s="2"/>
      <c r="E432" s="3"/>
      <c r="F432" s="3"/>
      <c r="G432" s="3"/>
      <c r="H432" s="3"/>
      <c r="I432" s="3"/>
      <c r="J432" s="3"/>
      <c r="K432" s="3"/>
    </row>
    <row r="433" s="1" customFormat="1" spans="4:11">
      <c r="D433" s="2"/>
      <c r="E433" s="3"/>
      <c r="F433" s="3"/>
      <c r="G433" s="3"/>
      <c r="H433" s="3"/>
      <c r="I433" s="3"/>
      <c r="J433" s="3"/>
      <c r="K433" s="3"/>
    </row>
    <row r="434" s="1" customFormat="1" spans="4:11">
      <c r="D434" s="2"/>
      <c r="E434" s="3"/>
      <c r="F434" s="3"/>
      <c r="G434" s="3"/>
      <c r="H434" s="3"/>
      <c r="I434" s="3"/>
      <c r="J434" s="3"/>
      <c r="K434" s="3"/>
    </row>
    <row r="435" s="1" customFormat="1" spans="4:11">
      <c r="D435" s="2"/>
      <c r="E435" s="3"/>
      <c r="F435" s="3"/>
      <c r="G435" s="3"/>
      <c r="H435" s="3"/>
      <c r="I435" s="3"/>
      <c r="J435" s="3"/>
      <c r="K435" s="3"/>
    </row>
    <row r="436" s="1" customFormat="1" spans="4:11">
      <c r="D436" s="2"/>
      <c r="E436" s="3"/>
      <c r="F436" s="3"/>
      <c r="G436" s="3"/>
      <c r="H436" s="3"/>
      <c r="I436" s="3"/>
      <c r="J436" s="3"/>
      <c r="K436" s="3"/>
    </row>
    <row r="437" s="1" customFormat="1" spans="4:11">
      <c r="D437" s="2"/>
      <c r="E437" s="3"/>
      <c r="F437" s="3"/>
      <c r="G437" s="3"/>
      <c r="H437" s="3"/>
      <c r="I437" s="3"/>
      <c r="J437" s="3"/>
      <c r="K437" s="3"/>
    </row>
    <row r="438" s="1" customFormat="1" spans="4:11">
      <c r="D438" s="2"/>
      <c r="E438" s="3"/>
      <c r="F438" s="3"/>
      <c r="G438" s="3"/>
      <c r="H438" s="3"/>
      <c r="I438" s="3"/>
      <c r="J438" s="3"/>
      <c r="K438" s="3"/>
    </row>
    <row r="439" s="1" customFormat="1" spans="4:11">
      <c r="D439" s="2"/>
      <c r="E439" s="3"/>
      <c r="F439" s="3"/>
      <c r="G439" s="3"/>
      <c r="H439" s="3"/>
      <c r="I439" s="3"/>
      <c r="J439" s="3"/>
      <c r="K439" s="3"/>
    </row>
    <row r="440" s="1" customFormat="1" spans="4:11">
      <c r="D440" s="2"/>
      <c r="E440" s="3"/>
      <c r="F440" s="3"/>
      <c r="G440" s="3"/>
      <c r="H440" s="3"/>
      <c r="I440" s="3"/>
      <c r="J440" s="3"/>
      <c r="K440" s="3"/>
    </row>
    <row r="441" s="1" customFormat="1" spans="4:11">
      <c r="D441" s="2"/>
      <c r="E441" s="3"/>
      <c r="F441" s="3"/>
      <c r="G441" s="3"/>
      <c r="H441" s="3"/>
      <c r="I441" s="3"/>
      <c r="J441" s="3"/>
      <c r="K441" s="3"/>
    </row>
    <row r="442" s="1" customFormat="1" spans="4:11">
      <c r="D442" s="2"/>
      <c r="E442" s="3"/>
      <c r="F442" s="3"/>
      <c r="G442" s="3"/>
      <c r="H442" s="3"/>
      <c r="I442" s="3"/>
      <c r="J442" s="3"/>
      <c r="K442" s="3"/>
    </row>
    <row r="443" s="1" customFormat="1" spans="4:11">
      <c r="D443" s="2"/>
      <c r="E443" s="3"/>
      <c r="F443" s="3"/>
      <c r="G443" s="3"/>
      <c r="H443" s="3"/>
      <c r="I443" s="3"/>
      <c r="J443" s="3"/>
      <c r="K443" s="3"/>
    </row>
    <row r="444" s="1" customFormat="1" spans="4:11">
      <c r="D444" s="2"/>
      <c r="E444" s="3"/>
      <c r="F444" s="3"/>
      <c r="G444" s="3"/>
      <c r="H444" s="3"/>
      <c r="I444" s="3"/>
      <c r="J444" s="3"/>
      <c r="K444" s="3"/>
    </row>
    <row r="445" s="1" customFormat="1" spans="4:11">
      <c r="D445" s="2"/>
      <c r="E445" s="3"/>
      <c r="F445" s="3"/>
      <c r="G445" s="3"/>
      <c r="H445" s="3"/>
      <c r="I445" s="3"/>
      <c r="J445" s="3"/>
      <c r="K445" s="3"/>
    </row>
    <row r="446" s="1" customFormat="1" spans="4:11">
      <c r="D446" s="2"/>
      <c r="E446" s="3"/>
      <c r="F446" s="3"/>
      <c r="G446" s="3"/>
      <c r="H446" s="3"/>
      <c r="I446" s="3"/>
      <c r="J446" s="3"/>
      <c r="K446" s="3"/>
    </row>
    <row r="447" s="1" customFormat="1" spans="4:11">
      <c r="D447" s="2"/>
      <c r="E447" s="3"/>
      <c r="F447" s="3"/>
      <c r="G447" s="3"/>
      <c r="H447" s="3"/>
      <c r="I447" s="3"/>
      <c r="J447" s="3"/>
      <c r="K447" s="3"/>
    </row>
    <row r="448" s="1" customFormat="1" spans="4:11">
      <c r="D448" s="2"/>
      <c r="E448" s="3"/>
      <c r="F448" s="3"/>
      <c r="G448" s="3"/>
      <c r="H448" s="3"/>
      <c r="I448" s="3"/>
      <c r="J448" s="3"/>
      <c r="K448" s="3"/>
    </row>
    <row r="449" s="1" customFormat="1" spans="4:11">
      <c r="D449" s="2"/>
      <c r="E449" s="3"/>
      <c r="F449" s="3"/>
      <c r="G449" s="3"/>
      <c r="H449" s="3"/>
      <c r="I449" s="3"/>
      <c r="J449" s="3"/>
      <c r="K449" s="3"/>
    </row>
    <row r="450" s="1" customFormat="1" spans="4:11">
      <c r="D450" s="2"/>
      <c r="E450" s="3"/>
      <c r="F450" s="3"/>
      <c r="G450" s="3"/>
      <c r="H450" s="3"/>
      <c r="I450" s="3"/>
      <c r="J450" s="3"/>
      <c r="K450" s="3"/>
    </row>
    <row r="451" s="1" customFormat="1" spans="4:11">
      <c r="D451" s="2"/>
      <c r="E451" s="3"/>
      <c r="F451" s="3"/>
      <c r="G451" s="3"/>
      <c r="H451" s="3"/>
      <c r="I451" s="3"/>
      <c r="J451" s="3"/>
      <c r="K451" s="3"/>
    </row>
    <row r="452" s="1" customFormat="1" spans="4:11">
      <c r="D452" s="2"/>
      <c r="E452" s="3"/>
      <c r="F452" s="3"/>
      <c r="G452" s="3"/>
      <c r="H452" s="3"/>
      <c r="I452" s="3"/>
      <c r="J452" s="3"/>
      <c r="K452" s="3"/>
    </row>
    <row r="453" s="1" customFormat="1" spans="4:11">
      <c r="D453" s="2"/>
      <c r="E453" s="3"/>
      <c r="F453" s="3"/>
      <c r="G453" s="3"/>
      <c r="H453" s="3"/>
      <c r="I453" s="3"/>
      <c r="J453" s="3"/>
      <c r="K453" s="3"/>
    </row>
    <row r="454" s="1" customFormat="1" spans="4:11">
      <c r="D454" s="2"/>
      <c r="E454" s="3"/>
      <c r="F454" s="3"/>
      <c r="G454" s="3"/>
      <c r="H454" s="3"/>
      <c r="I454" s="3"/>
      <c r="J454" s="3"/>
      <c r="K454" s="3"/>
    </row>
    <row r="455" s="1" customFormat="1" spans="4:11">
      <c r="D455" s="2"/>
      <c r="E455" s="3"/>
      <c r="F455" s="3"/>
      <c r="G455" s="3"/>
      <c r="H455" s="3"/>
      <c r="I455" s="3"/>
      <c r="J455" s="3"/>
      <c r="K455" s="3"/>
    </row>
    <row r="456" s="1" customFormat="1" spans="4:11">
      <c r="D456" s="2"/>
      <c r="E456" s="3"/>
      <c r="F456" s="3"/>
      <c r="G456" s="3"/>
      <c r="H456" s="3"/>
      <c r="I456" s="3"/>
      <c r="J456" s="3"/>
      <c r="K456" s="3"/>
    </row>
    <row r="457" s="1" customFormat="1" spans="4:11">
      <c r="D457" s="2"/>
      <c r="E457" s="3"/>
      <c r="F457" s="3"/>
      <c r="G457" s="3"/>
      <c r="H457" s="3"/>
      <c r="I457" s="3"/>
      <c r="J457" s="3"/>
      <c r="K457" s="3"/>
    </row>
    <row r="458" s="1" customFormat="1" spans="4:11">
      <c r="D458" s="2"/>
      <c r="E458" s="3"/>
      <c r="F458" s="3"/>
      <c r="G458" s="3"/>
      <c r="H458" s="3"/>
      <c r="I458" s="3"/>
      <c r="J458" s="3"/>
      <c r="K458" s="3"/>
    </row>
    <row r="459" s="1" customFormat="1" spans="4:11">
      <c r="D459" s="2"/>
      <c r="E459" s="3"/>
      <c r="F459" s="3"/>
      <c r="G459" s="3"/>
      <c r="H459" s="3"/>
      <c r="I459" s="3"/>
      <c r="J459" s="3"/>
      <c r="K459" s="3"/>
    </row>
    <row r="460" s="1" customFormat="1" spans="4:11">
      <c r="D460" s="2"/>
      <c r="E460" s="3"/>
      <c r="F460" s="3"/>
      <c r="G460" s="3"/>
      <c r="H460" s="3"/>
      <c r="I460" s="3"/>
      <c r="J460" s="3"/>
      <c r="K460" s="3"/>
    </row>
    <row r="461" s="1" customFormat="1" spans="4:11">
      <c r="D461" s="2"/>
      <c r="E461" s="3"/>
      <c r="F461" s="3"/>
      <c r="G461" s="3"/>
      <c r="H461" s="3"/>
      <c r="I461" s="3"/>
      <c r="J461" s="3"/>
      <c r="K461" s="3"/>
    </row>
    <row r="462" s="1" customFormat="1" spans="4:11">
      <c r="D462" s="2"/>
      <c r="E462" s="3"/>
      <c r="F462" s="3"/>
      <c r="G462" s="3"/>
      <c r="H462" s="3"/>
      <c r="I462" s="3"/>
      <c r="J462" s="3"/>
      <c r="K462" s="3"/>
    </row>
    <row r="463" s="1" customFormat="1" spans="4:11">
      <c r="D463" s="2"/>
      <c r="E463" s="3"/>
      <c r="F463" s="3"/>
      <c r="G463" s="3"/>
      <c r="H463" s="3"/>
      <c r="I463" s="3"/>
      <c r="J463" s="3"/>
      <c r="K463" s="3"/>
    </row>
    <row r="464" s="1" customFormat="1" spans="4:11">
      <c r="D464" s="2"/>
      <c r="E464" s="3"/>
      <c r="F464" s="3"/>
      <c r="G464" s="3"/>
      <c r="H464" s="3"/>
      <c r="I464" s="3"/>
      <c r="J464" s="3"/>
      <c r="K464" s="3"/>
    </row>
    <row r="465" s="1" customFormat="1" spans="4:11">
      <c r="D465" s="2"/>
      <c r="E465" s="3"/>
      <c r="F465" s="3"/>
      <c r="G465" s="3"/>
      <c r="H465" s="3"/>
      <c r="I465" s="3"/>
      <c r="J465" s="3"/>
      <c r="K465" s="3"/>
    </row>
    <row r="466" s="1" customFormat="1" spans="4:11">
      <c r="D466" s="2"/>
      <c r="E466" s="3"/>
      <c r="F466" s="3"/>
      <c r="G466" s="3"/>
      <c r="H466" s="3"/>
      <c r="I466" s="3"/>
      <c r="J466" s="3"/>
      <c r="K466" s="3"/>
    </row>
    <row r="467" s="1" customFormat="1" spans="4:11">
      <c r="D467" s="2"/>
      <c r="E467" s="3"/>
      <c r="F467" s="3"/>
      <c r="G467" s="3"/>
      <c r="H467" s="3"/>
      <c r="I467" s="3"/>
      <c r="J467" s="3"/>
      <c r="K467" s="3"/>
    </row>
    <row r="468" s="1" customFormat="1" spans="4:11">
      <c r="D468" s="2"/>
      <c r="E468" s="3"/>
      <c r="F468" s="3"/>
      <c r="G468" s="3"/>
      <c r="H468" s="3"/>
      <c r="I468" s="3"/>
      <c r="J468" s="3"/>
      <c r="K468" s="3"/>
    </row>
    <row r="469" s="1" customFormat="1" spans="4:11">
      <c r="D469" s="2"/>
      <c r="E469" s="3"/>
      <c r="F469" s="3"/>
      <c r="G469" s="3"/>
      <c r="H469" s="3"/>
      <c r="I469" s="3"/>
      <c r="J469" s="3"/>
      <c r="K469" s="3"/>
    </row>
    <row r="470" s="1" customFormat="1" spans="4:11">
      <c r="D470" s="2"/>
      <c r="E470" s="3"/>
      <c r="F470" s="3"/>
      <c r="G470" s="3"/>
      <c r="H470" s="3"/>
      <c r="I470" s="3"/>
      <c r="J470" s="3"/>
      <c r="K470" s="3"/>
    </row>
    <row r="471" s="1" customFormat="1" spans="4:11">
      <c r="D471" s="2"/>
      <c r="E471" s="3"/>
      <c r="F471" s="3"/>
      <c r="G471" s="3"/>
      <c r="H471" s="3"/>
      <c r="I471" s="3"/>
      <c r="J471" s="3"/>
      <c r="K471" s="3"/>
    </row>
    <row r="472" s="1" customFormat="1" spans="4:11">
      <c r="D472" s="2"/>
      <c r="E472" s="3"/>
      <c r="F472" s="3"/>
      <c r="G472" s="3"/>
      <c r="H472" s="3"/>
      <c r="I472" s="3"/>
      <c r="J472" s="3"/>
      <c r="K472" s="3"/>
    </row>
    <row r="473" s="1" customFormat="1" spans="4:11">
      <c r="D473" s="2"/>
      <c r="E473" s="3"/>
      <c r="F473" s="3"/>
      <c r="G473" s="3"/>
      <c r="H473" s="3"/>
      <c r="I473" s="3"/>
      <c r="J473" s="3"/>
      <c r="K473" s="3"/>
    </row>
    <row r="474" s="1" customFormat="1" spans="4:11">
      <c r="D474" s="2"/>
      <c r="E474" s="3"/>
      <c r="F474" s="3"/>
      <c r="G474" s="3"/>
      <c r="H474" s="3"/>
      <c r="I474" s="3"/>
      <c r="J474" s="3"/>
      <c r="K474" s="3"/>
    </row>
    <row r="475" s="1" customFormat="1" spans="4:11">
      <c r="D475" s="2"/>
      <c r="E475" s="3"/>
      <c r="F475" s="3"/>
      <c r="G475" s="3"/>
      <c r="H475" s="3"/>
      <c r="I475" s="3"/>
      <c r="J475" s="3"/>
      <c r="K475" s="3"/>
    </row>
    <row r="476" s="1" customFormat="1" spans="4:11">
      <c r="D476" s="2"/>
      <c r="E476" s="3"/>
      <c r="F476" s="3"/>
      <c r="G476" s="3"/>
      <c r="H476" s="3"/>
      <c r="I476" s="3"/>
      <c r="J476" s="3"/>
      <c r="K476" s="3"/>
    </row>
    <row r="477" s="1" customFormat="1" spans="4:11">
      <c r="D477" s="2"/>
      <c r="E477" s="3"/>
      <c r="F477" s="3"/>
      <c r="G477" s="3"/>
      <c r="H477" s="3"/>
      <c r="I477" s="3"/>
      <c r="J477" s="3"/>
      <c r="K477" s="3"/>
    </row>
    <row r="478" s="1" customFormat="1" spans="4:11">
      <c r="D478" s="2"/>
      <c r="E478" s="3"/>
      <c r="F478" s="3"/>
      <c r="G478" s="3"/>
      <c r="H478" s="3"/>
      <c r="I478" s="3"/>
      <c r="J478" s="3"/>
      <c r="K478" s="3"/>
    </row>
    <row r="479" s="1" customFormat="1" spans="4:11">
      <c r="D479" s="2"/>
      <c r="E479" s="3"/>
      <c r="F479" s="3"/>
      <c r="G479" s="3"/>
      <c r="H479" s="3"/>
      <c r="I479" s="3"/>
      <c r="J479" s="3"/>
      <c r="K479" s="3"/>
    </row>
    <row r="480" s="1" customFormat="1" spans="4:11">
      <c r="D480" s="2"/>
      <c r="E480" s="3"/>
      <c r="F480" s="3"/>
      <c r="G480" s="3"/>
      <c r="H480" s="3"/>
      <c r="I480" s="3"/>
      <c r="J480" s="3"/>
      <c r="K480" s="3"/>
    </row>
    <row r="481" s="1" customFormat="1" spans="4:11">
      <c r="D481" s="2"/>
      <c r="E481" s="3"/>
      <c r="F481" s="3"/>
      <c r="G481" s="3"/>
      <c r="H481" s="3"/>
      <c r="I481" s="3"/>
      <c r="J481" s="3"/>
      <c r="K481" s="3"/>
    </row>
    <row r="482" s="1" customFormat="1" spans="4:11">
      <c r="D482" s="2"/>
      <c r="E482" s="3"/>
      <c r="F482" s="3"/>
      <c r="G482" s="3"/>
      <c r="H482" s="3"/>
      <c r="I482" s="3"/>
      <c r="J482" s="3"/>
      <c r="K482" s="3"/>
    </row>
    <row r="483" s="1" customFormat="1" spans="4:11">
      <c r="D483" s="2"/>
      <c r="E483" s="3"/>
      <c r="F483" s="3"/>
      <c r="G483" s="3"/>
      <c r="H483" s="3"/>
      <c r="I483" s="3"/>
      <c r="J483" s="3"/>
      <c r="K483" s="3"/>
    </row>
    <row r="484" s="1" customFormat="1" spans="4:11">
      <c r="D484" s="2"/>
      <c r="E484" s="3"/>
      <c r="F484" s="3"/>
      <c r="G484" s="3"/>
      <c r="H484" s="3"/>
      <c r="I484" s="3"/>
      <c r="J484" s="3"/>
      <c r="K484" s="3"/>
    </row>
    <row r="485" s="1" customFormat="1" spans="4:11">
      <c r="D485" s="2"/>
      <c r="E485" s="3"/>
      <c r="F485" s="3"/>
      <c r="G485" s="3"/>
      <c r="H485" s="3"/>
      <c r="I485" s="3"/>
      <c r="J485" s="3"/>
      <c r="K485" s="3"/>
    </row>
    <row r="486" s="1" customFormat="1" spans="4:11">
      <c r="D486" s="2"/>
      <c r="E486" s="3"/>
      <c r="F486" s="3"/>
      <c r="G486" s="3"/>
      <c r="H486" s="3"/>
      <c r="I486" s="3"/>
      <c r="J486" s="3"/>
      <c r="K486" s="3"/>
    </row>
    <row r="487" s="1" customFormat="1" spans="4:11">
      <c r="D487" s="2"/>
      <c r="E487" s="3"/>
      <c r="F487" s="3"/>
      <c r="G487" s="3"/>
      <c r="H487" s="3"/>
      <c r="I487" s="3"/>
      <c r="J487" s="3"/>
      <c r="K487" s="3"/>
    </row>
    <row r="488" s="1" customFormat="1" spans="4:11">
      <c r="D488" s="2"/>
      <c r="E488" s="3"/>
      <c r="F488" s="3"/>
      <c r="G488" s="3"/>
      <c r="H488" s="3"/>
      <c r="I488" s="3"/>
      <c r="J488" s="3"/>
      <c r="K488" s="3"/>
    </row>
    <row r="489" s="1" customFormat="1" spans="4:11">
      <c r="D489" s="2"/>
      <c r="E489" s="3"/>
      <c r="F489" s="3"/>
      <c r="G489" s="3"/>
      <c r="H489" s="3"/>
      <c r="I489" s="3"/>
      <c r="J489" s="3"/>
      <c r="K489" s="3"/>
    </row>
    <row r="490" s="1" customFormat="1" spans="4:11">
      <c r="D490" s="2"/>
      <c r="E490" s="3"/>
      <c r="F490" s="3"/>
      <c r="G490" s="3"/>
      <c r="H490" s="3"/>
      <c r="I490" s="3"/>
      <c r="J490" s="3"/>
      <c r="K490" s="3"/>
    </row>
    <row r="491" s="1" customFormat="1" spans="4:11">
      <c r="D491" s="2"/>
      <c r="E491" s="3"/>
      <c r="F491" s="3"/>
      <c r="G491" s="3"/>
      <c r="H491" s="3"/>
      <c r="I491" s="3"/>
      <c r="J491" s="3"/>
      <c r="K491" s="3"/>
    </row>
    <row r="492" s="1" customFormat="1" spans="4:11">
      <c r="D492" s="2"/>
      <c r="E492" s="3"/>
      <c r="F492" s="3"/>
      <c r="G492" s="3"/>
      <c r="H492" s="3"/>
      <c r="I492" s="3"/>
      <c r="J492" s="3"/>
      <c r="K492" s="3"/>
    </row>
    <row r="493" s="1" customFormat="1" spans="4:11">
      <c r="D493" s="2"/>
      <c r="E493" s="3"/>
      <c r="F493" s="3"/>
      <c r="G493" s="3"/>
      <c r="H493" s="3"/>
      <c r="I493" s="3"/>
      <c r="J493" s="3"/>
      <c r="K493" s="3"/>
    </row>
    <row r="494" s="1" customFormat="1" spans="4:11">
      <c r="D494" s="2"/>
      <c r="E494" s="3"/>
      <c r="F494" s="3"/>
      <c r="G494" s="3"/>
      <c r="H494" s="3"/>
      <c r="I494" s="3"/>
      <c r="J494" s="3"/>
      <c r="K494" s="3"/>
    </row>
    <row r="495" s="1" customFormat="1" spans="4:11">
      <c r="D495" s="2"/>
      <c r="E495" s="3"/>
      <c r="F495" s="3"/>
      <c r="G495" s="3"/>
      <c r="H495" s="3"/>
      <c r="I495" s="3"/>
      <c r="J495" s="3"/>
      <c r="K495" s="3"/>
    </row>
    <row r="496" s="1" customFormat="1" spans="4:11">
      <c r="D496" s="2"/>
      <c r="E496" s="3"/>
      <c r="F496" s="3"/>
      <c r="G496" s="3"/>
      <c r="H496" s="3"/>
      <c r="I496" s="3"/>
      <c r="J496" s="3"/>
      <c r="K496" s="3"/>
    </row>
    <row r="497" s="1" customFormat="1" spans="4:11">
      <c r="D497" s="2"/>
      <c r="E497" s="3"/>
      <c r="F497" s="3"/>
      <c r="G497" s="3"/>
      <c r="H497" s="3"/>
      <c r="I497" s="3"/>
      <c r="J497" s="3"/>
      <c r="K497" s="3"/>
    </row>
    <row r="498" s="1" customFormat="1" spans="4:11">
      <c r="D498" s="2"/>
      <c r="E498" s="3"/>
      <c r="F498" s="3"/>
      <c r="G498" s="3"/>
      <c r="H498" s="3"/>
      <c r="I498" s="3"/>
      <c r="J498" s="3"/>
      <c r="K498" s="3"/>
    </row>
    <row r="499" s="1" customFormat="1" spans="4:11">
      <c r="D499" s="2"/>
      <c r="E499" s="3"/>
      <c r="F499" s="3"/>
      <c r="G499" s="3"/>
      <c r="H499" s="3"/>
      <c r="I499" s="3"/>
      <c r="J499" s="3"/>
      <c r="K499" s="3"/>
    </row>
    <row r="500" s="1" customFormat="1" spans="4:11">
      <c r="D500" s="2"/>
      <c r="E500" s="3"/>
      <c r="F500" s="3"/>
      <c r="G500" s="3"/>
      <c r="H500" s="3"/>
      <c r="I500" s="3"/>
      <c r="J500" s="3"/>
      <c r="K500" s="3"/>
    </row>
    <row r="501" s="1" customFormat="1" spans="4:11">
      <c r="D501" s="2"/>
      <c r="E501" s="3"/>
      <c r="F501" s="3"/>
      <c r="G501" s="3"/>
      <c r="H501" s="3"/>
      <c r="I501" s="3"/>
      <c r="J501" s="3"/>
      <c r="K501" s="3"/>
    </row>
    <row r="502" s="1" customFormat="1" spans="4:11">
      <c r="D502" s="2"/>
      <c r="E502" s="3"/>
      <c r="F502" s="3"/>
      <c r="G502" s="3"/>
      <c r="H502" s="3"/>
      <c r="I502" s="3"/>
      <c r="J502" s="3"/>
      <c r="K502" s="3"/>
    </row>
    <row r="503" s="1" customFormat="1" spans="4:11">
      <c r="D503" s="2"/>
      <c r="E503" s="3"/>
      <c r="F503" s="3"/>
      <c r="G503" s="3"/>
      <c r="H503" s="3"/>
      <c r="I503" s="3"/>
      <c r="J503" s="3"/>
      <c r="K503" s="3"/>
    </row>
    <row r="504" s="1" customFormat="1" spans="4:11">
      <c r="D504" s="2"/>
      <c r="E504" s="3"/>
      <c r="F504" s="3"/>
      <c r="G504" s="3"/>
      <c r="H504" s="3"/>
      <c r="I504" s="3"/>
      <c r="J504" s="3"/>
      <c r="K504" s="3"/>
    </row>
    <row r="505" s="1" customFormat="1" spans="4:11">
      <c r="D505" s="2"/>
      <c r="E505" s="3"/>
      <c r="F505" s="3"/>
      <c r="G505" s="3"/>
      <c r="H505" s="3"/>
      <c r="I505" s="3"/>
      <c r="J505" s="3"/>
      <c r="K505" s="3"/>
    </row>
    <row r="506" s="1" customFormat="1" spans="4:11">
      <c r="D506" s="2"/>
      <c r="E506" s="3"/>
      <c r="F506" s="3"/>
      <c r="G506" s="3"/>
      <c r="H506" s="3"/>
      <c r="I506" s="3"/>
      <c r="J506" s="3"/>
      <c r="K506" s="3"/>
    </row>
    <row r="507" s="1" customFormat="1" spans="4:11">
      <c r="D507" s="2"/>
      <c r="E507" s="3"/>
      <c r="F507" s="3"/>
      <c r="G507" s="3"/>
      <c r="H507" s="3"/>
      <c r="I507" s="3"/>
      <c r="J507" s="3"/>
      <c r="K507" s="3"/>
    </row>
    <row r="508" s="1" customFormat="1" spans="4:11">
      <c r="D508" s="2"/>
      <c r="E508" s="3"/>
      <c r="F508" s="3"/>
      <c r="G508" s="3"/>
      <c r="H508" s="3"/>
      <c r="I508" s="3"/>
      <c r="J508" s="3"/>
      <c r="K508" s="3"/>
    </row>
    <row r="509" s="1" customFormat="1" spans="4:11">
      <c r="D509" s="2"/>
      <c r="E509" s="3"/>
      <c r="F509" s="3"/>
      <c r="G509" s="3"/>
      <c r="H509" s="3"/>
      <c r="I509" s="3"/>
      <c r="J509" s="3"/>
      <c r="K509" s="3"/>
    </row>
    <row r="510" s="1" customFormat="1" spans="4:11">
      <c r="D510" s="2"/>
      <c r="E510" s="3"/>
      <c r="F510" s="3"/>
      <c r="G510" s="3"/>
      <c r="H510" s="3"/>
      <c r="I510" s="3"/>
      <c r="J510" s="3"/>
      <c r="K510" s="3"/>
    </row>
    <row r="511" s="1" customFormat="1" spans="4:11">
      <c r="D511" s="2"/>
      <c r="E511" s="3"/>
      <c r="F511" s="3"/>
      <c r="G511" s="3"/>
      <c r="H511" s="3"/>
      <c r="I511" s="3"/>
      <c r="J511" s="3"/>
      <c r="K511" s="3"/>
    </row>
    <row r="512" s="1" customFormat="1" spans="4:11">
      <c r="D512" s="2"/>
      <c r="E512" s="3"/>
      <c r="F512" s="3"/>
      <c r="G512" s="3"/>
      <c r="H512" s="3"/>
      <c r="I512" s="3"/>
      <c r="J512" s="3"/>
      <c r="K512" s="3"/>
    </row>
    <row r="513" s="1" customFormat="1" spans="4:11">
      <c r="D513" s="2"/>
      <c r="E513" s="3"/>
      <c r="F513" s="3"/>
      <c r="G513" s="3"/>
      <c r="H513" s="3"/>
      <c r="I513" s="3"/>
      <c r="J513" s="3"/>
      <c r="K513" s="3"/>
    </row>
    <row r="514" s="1" customFormat="1" spans="4:11">
      <c r="D514" s="2"/>
      <c r="E514" s="3"/>
      <c r="F514" s="3"/>
      <c r="G514" s="3"/>
      <c r="H514" s="3"/>
      <c r="I514" s="3"/>
      <c r="J514" s="3"/>
      <c r="K514" s="3"/>
    </row>
    <row r="515" s="1" customFormat="1" spans="4:11">
      <c r="D515" s="2"/>
      <c r="E515" s="3"/>
      <c r="F515" s="3"/>
      <c r="G515" s="3"/>
      <c r="H515" s="3"/>
      <c r="I515" s="3"/>
      <c r="J515" s="3"/>
      <c r="K515" s="3"/>
    </row>
    <row r="516" s="1" customFormat="1" spans="4:11">
      <c r="D516" s="2"/>
      <c r="E516" s="3"/>
      <c r="F516" s="3"/>
      <c r="G516" s="3"/>
      <c r="H516" s="3"/>
      <c r="I516" s="3"/>
      <c r="J516" s="3"/>
      <c r="K516" s="3"/>
    </row>
    <row r="517" s="1" customFormat="1" spans="4:11">
      <c r="D517" s="2"/>
      <c r="E517" s="3"/>
      <c r="F517" s="3"/>
      <c r="G517" s="3"/>
      <c r="H517" s="3"/>
      <c r="I517" s="3"/>
      <c r="J517" s="3"/>
      <c r="K517" s="3"/>
    </row>
    <row r="518" s="1" customFormat="1" spans="4:11">
      <c r="D518" s="2"/>
      <c r="E518" s="3"/>
      <c r="F518" s="3"/>
      <c r="G518" s="3"/>
      <c r="H518" s="3"/>
      <c r="I518" s="3"/>
      <c r="J518" s="3"/>
      <c r="K518" s="3"/>
    </row>
    <row r="519" s="1" customFormat="1" spans="4:11">
      <c r="D519" s="2"/>
      <c r="E519" s="3"/>
      <c r="F519" s="3"/>
      <c r="G519" s="3"/>
      <c r="H519" s="3"/>
      <c r="I519" s="3"/>
      <c r="J519" s="3"/>
      <c r="K519" s="3"/>
    </row>
    <row r="520" s="1" customFormat="1" spans="4:11">
      <c r="D520" s="2"/>
      <c r="E520" s="3"/>
      <c r="F520" s="3"/>
      <c r="G520" s="3"/>
      <c r="H520" s="3"/>
      <c r="I520" s="3"/>
      <c r="J520" s="3"/>
      <c r="K520" s="3"/>
    </row>
    <row r="521" s="1" customFormat="1" spans="4:11">
      <c r="D521" s="2"/>
      <c r="E521" s="3"/>
      <c r="F521" s="3"/>
      <c r="G521" s="3"/>
      <c r="H521" s="3"/>
      <c r="I521" s="3"/>
      <c r="J521" s="3"/>
      <c r="K521" s="3"/>
    </row>
    <row r="522" s="1" customFormat="1" spans="4:11">
      <c r="D522" s="2"/>
      <c r="E522" s="3"/>
      <c r="F522" s="3"/>
      <c r="G522" s="3"/>
      <c r="H522" s="3"/>
      <c r="I522" s="3"/>
      <c r="J522" s="3"/>
      <c r="K522" s="3"/>
    </row>
    <row r="523" s="1" customFormat="1" spans="4:11">
      <c r="D523" s="2"/>
      <c r="E523" s="3"/>
      <c r="F523" s="3"/>
      <c r="G523" s="3"/>
      <c r="H523" s="3"/>
      <c r="I523" s="3"/>
      <c r="J523" s="3"/>
      <c r="K523" s="3"/>
    </row>
    <row r="524" s="1" customFormat="1" spans="4:11">
      <c r="D524" s="2"/>
      <c r="E524" s="3"/>
      <c r="F524" s="3"/>
      <c r="G524" s="3"/>
      <c r="H524" s="3"/>
      <c r="I524" s="3"/>
      <c r="J524" s="3"/>
      <c r="K524" s="3"/>
    </row>
    <row r="525" s="1" customFormat="1" spans="4:11">
      <c r="D525" s="2"/>
      <c r="E525" s="3"/>
      <c r="F525" s="3"/>
      <c r="G525" s="3"/>
      <c r="H525" s="3"/>
      <c r="I525" s="3"/>
      <c r="J525" s="3"/>
      <c r="K525" s="3"/>
    </row>
    <row r="526" s="1" customFormat="1" spans="4:11">
      <c r="D526" s="2"/>
      <c r="E526" s="3"/>
      <c r="F526" s="3"/>
      <c r="G526" s="3"/>
      <c r="H526" s="3"/>
      <c r="I526" s="3"/>
      <c r="J526" s="3"/>
      <c r="K526" s="3"/>
    </row>
    <row r="527" s="1" customFormat="1" spans="4:11">
      <c r="D527" s="2"/>
      <c r="E527" s="3"/>
      <c r="F527" s="3"/>
      <c r="G527" s="3"/>
      <c r="H527" s="3"/>
      <c r="I527" s="3"/>
      <c r="J527" s="3"/>
      <c r="K527" s="3"/>
    </row>
    <row r="528" s="1" customFormat="1" spans="4:11">
      <c r="D528" s="2"/>
      <c r="E528" s="3"/>
      <c r="F528" s="3"/>
      <c r="G528" s="3"/>
      <c r="H528" s="3"/>
      <c r="I528" s="3"/>
      <c r="J528" s="3"/>
      <c r="K528" s="3"/>
    </row>
    <row r="529" s="1" customFormat="1" spans="4:11">
      <c r="D529" s="2"/>
      <c r="E529" s="3"/>
      <c r="F529" s="3"/>
      <c r="G529" s="3"/>
      <c r="H529" s="3"/>
      <c r="I529" s="3"/>
      <c r="J529" s="3"/>
      <c r="K529" s="3"/>
    </row>
    <row r="530" s="1" customFormat="1" spans="4:11">
      <c r="D530" s="2"/>
      <c r="E530" s="3"/>
      <c r="F530" s="3"/>
      <c r="G530" s="3"/>
      <c r="H530" s="3"/>
      <c r="I530" s="3"/>
      <c r="J530" s="3"/>
      <c r="K530" s="3"/>
    </row>
    <row r="531" s="1" customFormat="1" spans="4:11">
      <c r="D531" s="2"/>
      <c r="E531" s="3"/>
      <c r="F531" s="3"/>
      <c r="G531" s="3"/>
      <c r="H531" s="3"/>
      <c r="I531" s="3"/>
      <c r="J531" s="3"/>
      <c r="K531" s="3"/>
    </row>
    <row r="532" s="1" customFormat="1" spans="4:11">
      <c r="D532" s="2"/>
      <c r="E532" s="3"/>
      <c r="F532" s="3"/>
      <c r="G532" s="3"/>
      <c r="H532" s="3"/>
      <c r="I532" s="3"/>
      <c r="J532" s="3"/>
      <c r="K532" s="3"/>
    </row>
    <row r="533" s="1" customFormat="1" spans="4:11">
      <c r="D533" s="2"/>
      <c r="E533" s="3"/>
      <c r="F533" s="3"/>
      <c r="G533" s="3"/>
      <c r="H533" s="3"/>
      <c r="I533" s="3"/>
      <c r="J533" s="3"/>
      <c r="K533" s="3"/>
    </row>
    <row r="534" s="1" customFormat="1" spans="4:11">
      <c r="D534" s="2"/>
      <c r="E534" s="3"/>
      <c r="F534" s="3"/>
      <c r="G534" s="3"/>
      <c r="H534" s="3"/>
      <c r="I534" s="3"/>
      <c r="J534" s="3"/>
      <c r="K534" s="3"/>
    </row>
    <row r="535" s="1" customFormat="1" spans="4:11">
      <c r="D535" s="2"/>
      <c r="E535" s="3"/>
      <c r="F535" s="3"/>
      <c r="G535" s="3"/>
      <c r="H535" s="3"/>
      <c r="I535" s="3"/>
      <c r="J535" s="3"/>
      <c r="K535" s="3"/>
    </row>
    <row r="536" s="1" customFormat="1" spans="4:11">
      <c r="D536" s="2"/>
      <c r="E536" s="3"/>
      <c r="F536" s="3"/>
      <c r="G536" s="3"/>
      <c r="H536" s="3"/>
      <c r="I536" s="3"/>
      <c r="J536" s="3"/>
      <c r="K536" s="3"/>
    </row>
    <row r="537" s="1" customFormat="1" spans="4:11">
      <c r="D537" s="2"/>
      <c r="E537" s="3"/>
      <c r="F537" s="3"/>
      <c r="G537" s="3"/>
      <c r="H537" s="3"/>
      <c r="I537" s="3"/>
      <c r="J537" s="3"/>
      <c r="K537" s="3"/>
    </row>
    <row r="538" s="1" customFormat="1" spans="4:11">
      <c r="D538" s="2"/>
      <c r="E538" s="3"/>
      <c r="F538" s="3"/>
      <c r="G538" s="3"/>
      <c r="H538" s="3"/>
      <c r="I538" s="3"/>
      <c r="J538" s="3"/>
      <c r="K538" s="3"/>
    </row>
    <row r="539" s="1" customFormat="1" spans="4:11">
      <c r="D539" s="2"/>
      <c r="E539" s="3"/>
      <c r="F539" s="3"/>
      <c r="G539" s="3"/>
      <c r="H539" s="3"/>
      <c r="I539" s="3"/>
      <c r="J539" s="3"/>
      <c r="K539" s="3"/>
    </row>
    <row r="540" s="1" customFormat="1" spans="4:11">
      <c r="D540" s="2"/>
      <c r="E540" s="3"/>
      <c r="F540" s="3"/>
      <c r="G540" s="3"/>
      <c r="H540" s="3"/>
      <c r="I540" s="3"/>
      <c r="J540" s="3"/>
      <c r="K540" s="3"/>
    </row>
    <row r="541" s="1" customFormat="1" spans="4:11">
      <c r="D541" s="2"/>
      <c r="E541" s="3"/>
      <c r="F541" s="3"/>
      <c r="G541" s="3"/>
      <c r="H541" s="3"/>
      <c r="I541" s="3"/>
      <c r="J541" s="3"/>
      <c r="K541" s="3"/>
    </row>
    <row r="542" s="1" customFormat="1" spans="4:11">
      <c r="D542" s="2"/>
      <c r="E542" s="3"/>
      <c r="F542" s="3"/>
      <c r="G542" s="3"/>
      <c r="H542" s="3"/>
      <c r="I542" s="3"/>
      <c r="J542" s="3"/>
      <c r="K542" s="3"/>
    </row>
    <row r="543" s="1" customFormat="1" spans="4:11">
      <c r="D543" s="2"/>
      <c r="E543" s="3"/>
      <c r="F543" s="3"/>
      <c r="G543" s="3"/>
      <c r="H543" s="3"/>
      <c r="I543" s="3"/>
      <c r="J543" s="3"/>
      <c r="K543" s="3"/>
    </row>
    <row r="544" s="1" customFormat="1" spans="4:11">
      <c r="D544" s="2"/>
      <c r="E544" s="3"/>
      <c r="F544" s="3"/>
      <c r="G544" s="3"/>
      <c r="H544" s="3"/>
      <c r="I544" s="3"/>
      <c r="J544" s="3"/>
      <c r="K544" s="3"/>
    </row>
    <row r="545" s="1" customFormat="1" spans="4:11">
      <c r="D545" s="2"/>
      <c r="E545" s="3"/>
      <c r="F545" s="3"/>
      <c r="G545" s="3"/>
      <c r="H545" s="3"/>
      <c r="I545" s="3"/>
      <c r="J545" s="3"/>
      <c r="K545" s="3"/>
    </row>
    <row r="546" s="1" customFormat="1" spans="4:11">
      <c r="D546" s="2"/>
      <c r="E546" s="3"/>
      <c r="F546" s="3"/>
      <c r="G546" s="3"/>
      <c r="H546" s="3"/>
      <c r="I546" s="3"/>
      <c r="J546" s="3"/>
      <c r="K546" s="3"/>
    </row>
    <row r="547" s="1" customFormat="1" spans="4:11">
      <c r="D547" s="2"/>
      <c r="E547" s="3"/>
      <c r="F547" s="3"/>
      <c r="G547" s="3"/>
      <c r="H547" s="3"/>
      <c r="I547" s="3"/>
      <c r="J547" s="3"/>
      <c r="K547" s="3"/>
    </row>
    <row r="548" s="1" customFormat="1" spans="4:11">
      <c r="D548" s="2"/>
      <c r="E548" s="3"/>
      <c r="F548" s="3"/>
      <c r="G548" s="3"/>
      <c r="H548" s="3"/>
      <c r="I548" s="3"/>
      <c r="J548" s="3"/>
      <c r="K548" s="3"/>
    </row>
    <row r="549" s="1" customFormat="1" spans="4:11">
      <c r="D549" s="2"/>
      <c r="E549" s="3"/>
      <c r="F549" s="3"/>
      <c r="G549" s="3"/>
      <c r="H549" s="3"/>
      <c r="I549" s="3"/>
      <c r="J549" s="3"/>
      <c r="K549" s="3"/>
    </row>
    <row r="550" s="1" customFormat="1" spans="4:11">
      <c r="D550" s="2"/>
      <c r="E550" s="3"/>
      <c r="F550" s="3"/>
      <c r="G550" s="3"/>
      <c r="H550" s="3"/>
      <c r="I550" s="3"/>
      <c r="J550" s="3"/>
      <c r="K550" s="3"/>
    </row>
    <row r="551" s="1" customFormat="1" spans="4:11">
      <c r="D551" s="2"/>
      <c r="E551" s="3"/>
      <c r="F551" s="3"/>
      <c r="G551" s="3"/>
      <c r="H551" s="3"/>
      <c r="I551" s="3"/>
      <c r="J551" s="3"/>
      <c r="K551" s="3"/>
    </row>
    <row r="552" s="1" customFormat="1" spans="4:11">
      <c r="D552" s="2"/>
      <c r="E552" s="3"/>
      <c r="F552" s="3"/>
      <c r="G552" s="3"/>
      <c r="H552" s="3"/>
      <c r="I552" s="3"/>
      <c r="J552" s="3"/>
      <c r="K552" s="3"/>
    </row>
    <row r="553" s="1" customFormat="1" spans="4:11">
      <c r="D553" s="2"/>
      <c r="E553" s="3"/>
      <c r="F553" s="3"/>
      <c r="G553" s="3"/>
      <c r="H553" s="3"/>
      <c r="I553" s="3"/>
      <c r="J553" s="3"/>
      <c r="K553" s="3"/>
    </row>
    <row r="554" s="1" customFormat="1" spans="4:11">
      <c r="D554" s="2"/>
      <c r="E554" s="3"/>
      <c r="F554" s="3"/>
      <c r="G554" s="3"/>
      <c r="H554" s="3"/>
      <c r="I554" s="3"/>
      <c r="J554" s="3"/>
      <c r="K554" s="3"/>
    </row>
    <row r="555" s="1" customFormat="1" spans="4:11">
      <c r="D555" s="2"/>
      <c r="E555" s="3"/>
      <c r="F555" s="3"/>
      <c r="G555" s="3"/>
      <c r="H555" s="3"/>
      <c r="I555" s="3"/>
      <c r="J555" s="3"/>
      <c r="K555" s="3"/>
    </row>
    <row r="556" s="1" customFormat="1" spans="4:11">
      <c r="D556" s="2"/>
      <c r="E556" s="3"/>
      <c r="F556" s="3"/>
      <c r="G556" s="3"/>
      <c r="H556" s="3"/>
      <c r="I556" s="3"/>
      <c r="J556" s="3"/>
      <c r="K556" s="3"/>
    </row>
    <row r="557" s="1" customFormat="1" spans="4:11">
      <c r="D557" s="2"/>
      <c r="E557" s="3"/>
      <c r="F557" s="3"/>
      <c r="G557" s="3"/>
      <c r="H557" s="3"/>
      <c r="I557" s="3"/>
      <c r="J557" s="3"/>
      <c r="K557" s="3"/>
    </row>
    <row r="558" s="1" customFormat="1" spans="4:11">
      <c r="D558" s="2"/>
      <c r="E558" s="3"/>
      <c r="F558" s="3"/>
      <c r="G558" s="3"/>
      <c r="H558" s="3"/>
      <c r="I558" s="3"/>
      <c r="J558" s="3"/>
      <c r="K558" s="3"/>
    </row>
    <row r="559" s="1" customFormat="1" spans="4:11">
      <c r="D559" s="2"/>
      <c r="E559" s="3"/>
      <c r="F559" s="3"/>
      <c r="G559" s="3"/>
      <c r="H559" s="3"/>
      <c r="I559" s="3"/>
      <c r="J559" s="3"/>
      <c r="K559" s="3"/>
    </row>
    <row r="560" s="1" customFormat="1" spans="4:11">
      <c r="D560" s="2"/>
      <c r="E560" s="3"/>
      <c r="F560" s="3"/>
      <c r="G560" s="3"/>
      <c r="H560" s="3"/>
      <c r="I560" s="3"/>
      <c r="J560" s="3"/>
      <c r="K560" s="3"/>
    </row>
    <row r="561" s="1" customFormat="1" spans="4:11">
      <c r="D561" s="2"/>
      <c r="E561" s="3"/>
      <c r="F561" s="3"/>
      <c r="G561" s="3"/>
      <c r="H561" s="3"/>
      <c r="I561" s="3"/>
      <c r="J561" s="3"/>
      <c r="K561" s="3"/>
    </row>
    <row r="562" s="1" customFormat="1" spans="4:11">
      <c r="D562" s="2"/>
      <c r="E562" s="3"/>
      <c r="F562" s="3"/>
      <c r="G562" s="3"/>
      <c r="H562" s="3"/>
      <c r="I562" s="3"/>
      <c r="J562" s="3"/>
      <c r="K562" s="3"/>
    </row>
    <row r="563" s="1" customFormat="1" spans="4:11">
      <c r="D563" s="2"/>
      <c r="E563" s="3"/>
      <c r="F563" s="3"/>
      <c r="G563" s="3"/>
      <c r="H563" s="3"/>
      <c r="I563" s="3"/>
      <c r="J563" s="3"/>
      <c r="K563" s="3"/>
    </row>
    <row r="564" s="1" customFormat="1" spans="4:11">
      <c r="D564" s="2"/>
      <c r="E564" s="3"/>
      <c r="F564" s="3"/>
      <c r="G564" s="3"/>
      <c r="H564" s="3"/>
      <c r="I564" s="3"/>
      <c r="J564" s="3"/>
      <c r="K564" s="3"/>
    </row>
    <row r="565" s="1" customFormat="1" spans="4:11">
      <c r="D565" s="2"/>
      <c r="E565" s="3"/>
      <c r="F565" s="3"/>
      <c r="G565" s="3"/>
      <c r="H565" s="3"/>
      <c r="I565" s="3"/>
      <c r="J565" s="3"/>
      <c r="K565" s="3"/>
    </row>
    <row r="566" s="1" customFormat="1" spans="4:11">
      <c r="D566" s="2"/>
      <c r="E566" s="3"/>
      <c r="F566" s="3"/>
      <c r="G566" s="3"/>
      <c r="H566" s="3"/>
      <c r="I566" s="3"/>
      <c r="J566" s="3"/>
      <c r="K566" s="3"/>
    </row>
    <row r="567" s="1" customFormat="1" spans="4:11">
      <c r="D567" s="2"/>
      <c r="E567" s="3"/>
      <c r="F567" s="3"/>
      <c r="G567" s="3"/>
      <c r="H567" s="3"/>
      <c r="I567" s="3"/>
      <c r="J567" s="3"/>
      <c r="K567" s="3"/>
    </row>
    <row r="568" s="1" customFormat="1" spans="4:11">
      <c r="D568" s="2"/>
      <c r="E568" s="3"/>
      <c r="F568" s="3"/>
      <c r="G568" s="3"/>
      <c r="H568" s="3"/>
      <c r="I568" s="3"/>
      <c r="J568" s="3"/>
      <c r="K568" s="3"/>
    </row>
    <row r="569" s="1" customFormat="1" spans="4:11">
      <c r="D569" s="2"/>
      <c r="E569" s="3"/>
      <c r="F569" s="3"/>
      <c r="G569" s="3"/>
      <c r="H569" s="3"/>
      <c r="I569" s="3"/>
      <c r="J569" s="3"/>
      <c r="K569" s="3"/>
    </row>
    <row r="570" s="1" customFormat="1" spans="4:11">
      <c r="D570" s="2"/>
      <c r="E570" s="3"/>
      <c r="F570" s="3"/>
      <c r="G570" s="3"/>
      <c r="H570" s="3"/>
      <c r="I570" s="3"/>
      <c r="J570" s="3"/>
      <c r="K570" s="3"/>
    </row>
    <row r="571" s="1" customFormat="1" spans="4:11">
      <c r="D571" s="2"/>
      <c r="E571" s="3"/>
      <c r="F571" s="3"/>
      <c r="G571" s="3"/>
      <c r="H571" s="3"/>
      <c r="I571" s="3"/>
      <c r="J571" s="3"/>
      <c r="K571" s="3"/>
    </row>
    <row r="572" s="1" customFormat="1" spans="4:11">
      <c r="D572" s="2"/>
      <c r="E572" s="3"/>
      <c r="F572" s="3"/>
      <c r="G572" s="3"/>
      <c r="H572" s="3"/>
      <c r="I572" s="3"/>
      <c r="J572" s="3"/>
      <c r="K572" s="3"/>
    </row>
    <row r="573" s="1" customFormat="1" spans="4:11">
      <c r="D573" s="2"/>
      <c r="E573" s="3"/>
      <c r="F573" s="3"/>
      <c r="G573" s="3"/>
      <c r="H573" s="3"/>
      <c r="I573" s="3"/>
      <c r="J573" s="3"/>
      <c r="K573" s="3"/>
    </row>
    <row r="574" s="1" customFormat="1" spans="4:11">
      <c r="D574" s="2"/>
      <c r="E574" s="3"/>
      <c r="F574" s="3"/>
      <c r="G574" s="3"/>
      <c r="H574" s="3"/>
      <c r="I574" s="3"/>
      <c r="J574" s="3"/>
      <c r="K574" s="3"/>
    </row>
    <row r="575" s="1" customFormat="1" spans="4:11">
      <c r="D575" s="2"/>
      <c r="E575" s="3"/>
      <c r="F575" s="3"/>
      <c r="G575" s="3"/>
      <c r="H575" s="3"/>
      <c r="I575" s="3"/>
      <c r="J575" s="3"/>
      <c r="K575" s="3"/>
    </row>
    <row r="576" s="1" customFormat="1" spans="4:11">
      <c r="D576" s="2"/>
      <c r="E576" s="3"/>
      <c r="F576" s="3"/>
      <c r="G576" s="3"/>
      <c r="H576" s="3"/>
      <c r="I576" s="3"/>
      <c r="J576" s="3"/>
      <c r="K576" s="3"/>
    </row>
    <row r="577" s="1" customFormat="1" spans="4:11">
      <c r="D577" s="2"/>
      <c r="E577" s="3"/>
      <c r="F577" s="3"/>
      <c r="G577" s="3"/>
      <c r="H577" s="3"/>
      <c r="I577" s="3"/>
      <c r="J577" s="3"/>
      <c r="K577" s="3"/>
    </row>
    <row r="578" s="1" customFormat="1" spans="4:11">
      <c r="D578" s="2"/>
      <c r="E578" s="3"/>
      <c r="F578" s="3"/>
      <c r="G578" s="3"/>
      <c r="H578" s="3"/>
      <c r="I578" s="3"/>
      <c r="J578" s="3"/>
      <c r="K578" s="3"/>
    </row>
    <row r="579" s="1" customFormat="1" spans="4:11">
      <c r="D579" s="2"/>
      <c r="E579" s="3"/>
      <c r="F579" s="3"/>
      <c r="G579" s="3"/>
      <c r="H579" s="3"/>
      <c r="I579" s="3"/>
      <c r="J579" s="3"/>
      <c r="K579" s="3"/>
    </row>
    <row r="580" s="1" customFormat="1" spans="4:11">
      <c r="D580" s="2"/>
      <c r="E580" s="3"/>
      <c r="F580" s="3"/>
      <c r="G580" s="3"/>
      <c r="H580" s="3"/>
      <c r="I580" s="3"/>
      <c r="J580" s="3"/>
      <c r="K580" s="3"/>
    </row>
    <row r="581" s="1" customFormat="1" spans="4:11">
      <c r="D581" s="2"/>
      <c r="E581" s="3"/>
      <c r="F581" s="3"/>
      <c r="G581" s="3"/>
      <c r="H581" s="3"/>
      <c r="I581" s="3"/>
      <c r="J581" s="3"/>
      <c r="K581" s="3"/>
    </row>
    <row r="582" s="1" customFormat="1" spans="4:11">
      <c r="D582" s="2"/>
      <c r="E582" s="3"/>
      <c r="F582" s="3"/>
      <c r="G582" s="3"/>
      <c r="H582" s="3"/>
      <c r="I582" s="3"/>
      <c r="J582" s="3"/>
      <c r="K582" s="3"/>
    </row>
    <row r="583" s="1" customFormat="1" spans="4:11">
      <c r="D583" s="2"/>
      <c r="E583" s="3"/>
      <c r="F583" s="3"/>
      <c r="G583" s="3"/>
      <c r="H583" s="3"/>
      <c r="I583" s="3"/>
      <c r="J583" s="3"/>
      <c r="K583" s="3"/>
    </row>
    <row r="584" s="1" customFormat="1" spans="4:11">
      <c r="D584" s="2"/>
      <c r="E584" s="3"/>
      <c r="F584" s="3"/>
      <c r="G584" s="3"/>
      <c r="H584" s="3"/>
      <c r="I584" s="3"/>
      <c r="J584" s="3"/>
      <c r="K584" s="3"/>
    </row>
    <row r="585" s="1" customFormat="1" spans="4:11">
      <c r="D585" s="2"/>
      <c r="E585" s="3"/>
      <c r="F585" s="3"/>
      <c r="G585" s="3"/>
      <c r="H585" s="3"/>
      <c r="I585" s="3"/>
      <c r="J585" s="3"/>
      <c r="K585" s="3"/>
    </row>
    <row r="586" s="1" customFormat="1" spans="4:11">
      <c r="D586" s="2"/>
      <c r="E586" s="3"/>
      <c r="F586" s="3"/>
      <c r="G586" s="3"/>
      <c r="H586" s="3"/>
      <c r="I586" s="3"/>
      <c r="J586" s="3"/>
      <c r="K586" s="3"/>
    </row>
    <row r="587" s="1" customFormat="1" spans="4:11">
      <c r="D587" s="2"/>
      <c r="E587" s="3"/>
      <c r="F587" s="3"/>
      <c r="G587" s="3"/>
      <c r="H587" s="3"/>
      <c r="I587" s="3"/>
      <c r="J587" s="3"/>
      <c r="K587" s="3"/>
    </row>
    <row r="588" s="1" customFormat="1" spans="4:11">
      <c r="D588" s="2"/>
      <c r="E588" s="3"/>
      <c r="F588" s="3"/>
      <c r="G588" s="3"/>
      <c r="H588" s="3"/>
      <c r="I588" s="3"/>
      <c r="J588" s="3"/>
      <c r="K588" s="3"/>
    </row>
    <row r="589" s="1" customFormat="1" spans="4:11">
      <c r="D589" s="2"/>
      <c r="E589" s="3"/>
      <c r="F589" s="3"/>
      <c r="G589" s="3"/>
      <c r="H589" s="3"/>
      <c r="I589" s="3"/>
      <c r="J589" s="3"/>
      <c r="K589" s="3"/>
    </row>
    <row r="590" s="1" customFormat="1" spans="4:11">
      <c r="D590" s="2"/>
      <c r="E590" s="3"/>
      <c r="F590" s="3"/>
      <c r="G590" s="3"/>
      <c r="H590" s="3"/>
      <c r="I590" s="3"/>
      <c r="J590" s="3"/>
      <c r="K590" s="3"/>
    </row>
    <row r="591" s="1" customFormat="1" spans="4:11">
      <c r="D591" s="2"/>
      <c r="E591" s="3"/>
      <c r="F591" s="3"/>
      <c r="G591" s="3"/>
      <c r="H591" s="3"/>
      <c r="I591" s="3"/>
      <c r="J591" s="3"/>
      <c r="K591" s="3"/>
    </row>
    <row r="592" s="1" customFormat="1" spans="4:11">
      <c r="D592" s="2"/>
      <c r="E592" s="3"/>
      <c r="F592" s="3"/>
      <c r="G592" s="3"/>
      <c r="H592" s="3"/>
      <c r="I592" s="3"/>
      <c r="J592" s="3"/>
      <c r="K592" s="3"/>
    </row>
    <row r="593" s="1" customFormat="1" spans="4:11">
      <c r="D593" s="2"/>
      <c r="E593" s="3"/>
      <c r="F593" s="3"/>
      <c r="G593" s="3"/>
      <c r="H593" s="3"/>
      <c r="I593" s="3"/>
      <c r="J593" s="3"/>
      <c r="K593" s="3"/>
    </row>
    <row r="594" s="1" customFormat="1" spans="4:11">
      <c r="D594" s="2"/>
      <c r="E594" s="3"/>
      <c r="F594" s="3"/>
      <c r="G594" s="3"/>
      <c r="H594" s="3"/>
      <c r="I594" s="3"/>
      <c r="J594" s="3"/>
      <c r="K594" s="3"/>
    </row>
    <row r="595" s="1" customFormat="1" spans="4:11">
      <c r="D595" s="2"/>
      <c r="E595" s="3"/>
      <c r="F595" s="3"/>
      <c r="G595" s="3"/>
      <c r="H595" s="3"/>
      <c r="I595" s="3"/>
      <c r="J595" s="3"/>
      <c r="K595" s="3"/>
    </row>
    <row r="596" s="1" customFormat="1" spans="4:11">
      <c r="D596" s="2"/>
      <c r="E596" s="3"/>
      <c r="F596" s="3"/>
      <c r="G596" s="3"/>
      <c r="H596" s="3"/>
      <c r="I596" s="3"/>
      <c r="J596" s="3"/>
      <c r="K596" s="3"/>
    </row>
    <row r="597" s="1" customFormat="1" spans="4:11">
      <c r="D597" s="2"/>
      <c r="E597" s="3"/>
      <c r="F597" s="3"/>
      <c r="G597" s="3"/>
      <c r="H597" s="3"/>
      <c r="I597" s="3"/>
      <c r="J597" s="3"/>
      <c r="K597" s="3"/>
    </row>
    <row r="598" s="1" customFormat="1" spans="4:11">
      <c r="D598" s="2"/>
      <c r="E598" s="3"/>
      <c r="F598" s="3"/>
      <c r="G598" s="3"/>
      <c r="H598" s="3"/>
      <c r="I598" s="3"/>
      <c r="J598" s="3"/>
      <c r="K598" s="3"/>
    </row>
    <row r="599" s="1" customFormat="1" spans="4:11">
      <c r="D599" s="2"/>
      <c r="E599" s="3"/>
      <c r="F599" s="3"/>
      <c r="G599" s="3"/>
      <c r="H599" s="3"/>
      <c r="I599" s="3"/>
      <c r="J599" s="3"/>
      <c r="K599" s="3"/>
    </row>
    <row r="600" s="1" customFormat="1" spans="4:11">
      <c r="D600" s="2"/>
      <c r="E600" s="3"/>
      <c r="F600" s="3"/>
      <c r="G600" s="3"/>
      <c r="H600" s="3"/>
      <c r="I600" s="3"/>
      <c r="J600" s="3"/>
      <c r="K600" s="3"/>
    </row>
    <row r="601" s="1" customFormat="1" spans="4:11">
      <c r="D601" s="2"/>
      <c r="E601" s="3"/>
      <c r="F601" s="3"/>
      <c r="G601" s="3"/>
      <c r="H601" s="3"/>
      <c r="I601" s="3"/>
      <c r="J601" s="3"/>
      <c r="K601" s="3"/>
    </row>
    <row r="602" s="1" customFormat="1" spans="4:11">
      <c r="D602" s="2"/>
      <c r="E602" s="3"/>
      <c r="F602" s="3"/>
      <c r="G602" s="3"/>
      <c r="H602" s="3"/>
      <c r="I602" s="3"/>
      <c r="J602" s="3"/>
      <c r="K602" s="3"/>
    </row>
    <row r="603" s="1" customFormat="1" spans="4:11">
      <c r="D603" s="2"/>
      <c r="E603" s="3"/>
      <c r="F603" s="3"/>
      <c r="G603" s="3"/>
      <c r="H603" s="3"/>
      <c r="I603" s="3"/>
      <c r="J603" s="3"/>
      <c r="K603" s="3"/>
    </row>
    <row r="604" s="1" customFormat="1" spans="4:11">
      <c r="D604" s="2"/>
      <c r="E604" s="3"/>
      <c r="F604" s="3"/>
      <c r="G604" s="3"/>
      <c r="H604" s="3"/>
      <c r="I604" s="3"/>
      <c r="J604" s="3"/>
      <c r="K604" s="3"/>
    </row>
    <row r="605" s="1" customFormat="1" spans="4:11">
      <c r="D605" s="2"/>
      <c r="E605" s="3"/>
      <c r="F605" s="3"/>
      <c r="G605" s="3"/>
      <c r="H605" s="3"/>
      <c r="I605" s="3"/>
      <c r="J605" s="3"/>
      <c r="K605" s="3"/>
    </row>
    <row r="606" s="1" customFormat="1" spans="4:11">
      <c r="D606" s="2"/>
      <c r="E606" s="3"/>
      <c r="F606" s="3"/>
      <c r="G606" s="3"/>
      <c r="H606" s="3"/>
      <c r="I606" s="3"/>
      <c r="J606" s="3"/>
      <c r="K606" s="3"/>
    </row>
    <row r="607" s="1" customFormat="1" spans="4:11">
      <c r="D607" s="2"/>
      <c r="E607" s="3"/>
      <c r="F607" s="3"/>
      <c r="G607" s="3"/>
      <c r="H607" s="3"/>
      <c r="I607" s="3"/>
      <c r="J607" s="3"/>
      <c r="K607" s="3"/>
    </row>
    <row r="608" s="1" customFormat="1" spans="4:11">
      <c r="D608" s="2"/>
      <c r="E608" s="3"/>
      <c r="F608" s="3"/>
      <c r="G608" s="3"/>
      <c r="H608" s="3"/>
      <c r="I608" s="3"/>
      <c r="J608" s="3"/>
      <c r="K608" s="3"/>
    </row>
    <row r="609" s="1" customFormat="1" spans="4:11">
      <c r="D609" s="2"/>
      <c r="E609" s="3"/>
      <c r="F609" s="3"/>
      <c r="G609" s="3"/>
      <c r="H609" s="3"/>
      <c r="I609" s="3"/>
      <c r="J609" s="3"/>
      <c r="K609" s="3"/>
    </row>
    <row r="610" s="1" customFormat="1" spans="4:11">
      <c r="D610" s="2"/>
      <c r="E610" s="3"/>
      <c r="F610" s="3"/>
      <c r="G610" s="3"/>
      <c r="H610" s="3"/>
      <c r="I610" s="3"/>
      <c r="J610" s="3"/>
      <c r="K610" s="3"/>
    </row>
    <row r="611" s="1" customFormat="1" spans="4:11">
      <c r="D611" s="2"/>
      <c r="E611" s="3"/>
      <c r="F611" s="3"/>
      <c r="G611" s="3"/>
      <c r="H611" s="3"/>
      <c r="I611" s="3"/>
      <c r="J611" s="3"/>
      <c r="K611" s="3"/>
    </row>
    <row r="612" s="1" customFormat="1" spans="4:11">
      <c r="D612" s="2"/>
      <c r="E612" s="3"/>
      <c r="F612" s="3"/>
      <c r="G612" s="3"/>
      <c r="H612" s="3"/>
      <c r="I612" s="3"/>
      <c r="J612" s="3"/>
      <c r="K612" s="3"/>
    </row>
    <row r="613" s="1" customFormat="1" spans="4:11">
      <c r="D613" s="2"/>
      <c r="E613" s="3"/>
      <c r="F613" s="3"/>
      <c r="G613" s="3"/>
      <c r="H613" s="3"/>
      <c r="I613" s="3"/>
      <c r="J613" s="3"/>
      <c r="K613" s="3"/>
    </row>
    <row r="614" s="1" customFormat="1" spans="4:11">
      <c r="D614" s="2"/>
      <c r="E614" s="3"/>
      <c r="F614" s="3"/>
      <c r="G614" s="3"/>
      <c r="H614" s="3"/>
      <c r="I614" s="3"/>
      <c r="J614" s="3"/>
      <c r="K614" s="3"/>
    </row>
    <row r="615" s="1" customFormat="1" spans="4:11">
      <c r="D615" s="2"/>
      <c r="E615" s="3"/>
      <c r="F615" s="3"/>
      <c r="G615" s="3"/>
      <c r="H615" s="3"/>
      <c r="I615" s="3"/>
      <c r="J615" s="3"/>
      <c r="K615" s="3"/>
    </row>
    <row r="616" s="1" customFormat="1" spans="4:11">
      <c r="D616" s="2"/>
      <c r="E616" s="3"/>
      <c r="F616" s="3"/>
      <c r="G616" s="3"/>
      <c r="H616" s="3"/>
      <c r="I616" s="3"/>
      <c r="J616" s="3"/>
      <c r="K616" s="3"/>
    </row>
    <row r="617" s="1" customFormat="1" spans="4:11">
      <c r="D617" s="2"/>
      <c r="E617" s="3"/>
      <c r="F617" s="3"/>
      <c r="G617" s="3"/>
      <c r="H617" s="3"/>
      <c r="I617" s="3"/>
      <c r="J617" s="3"/>
      <c r="K617" s="3"/>
    </row>
    <row r="618" s="1" customFormat="1" spans="4:11">
      <c r="D618" s="2"/>
      <c r="E618" s="3"/>
      <c r="F618" s="3"/>
      <c r="G618" s="3"/>
      <c r="H618" s="3"/>
      <c r="I618" s="3"/>
      <c r="J618" s="3"/>
      <c r="K618" s="3"/>
    </row>
    <row r="619" s="1" customFormat="1" spans="4:11">
      <c r="D619" s="2"/>
      <c r="E619" s="3"/>
      <c r="F619" s="3"/>
      <c r="G619" s="3"/>
      <c r="H619" s="3"/>
      <c r="I619" s="3"/>
      <c r="J619" s="3"/>
      <c r="K619" s="3"/>
    </row>
    <row r="620" s="1" customFormat="1" spans="4:11">
      <c r="D620" s="2"/>
      <c r="E620" s="3"/>
      <c r="F620" s="3"/>
      <c r="G620" s="3"/>
      <c r="H620" s="3"/>
      <c r="I620" s="3"/>
      <c r="J620" s="3"/>
      <c r="K620" s="3"/>
    </row>
    <row r="621" s="1" customFormat="1" spans="4:11">
      <c r="D621" s="2"/>
      <c r="E621" s="3"/>
      <c r="F621" s="3"/>
      <c r="G621" s="3"/>
      <c r="H621" s="3"/>
      <c r="I621" s="3"/>
      <c r="J621" s="3"/>
      <c r="K621" s="3"/>
    </row>
    <row r="622" s="1" customFormat="1" spans="4:11">
      <c r="D622" s="2"/>
      <c r="E622" s="3"/>
      <c r="F622" s="3"/>
      <c r="G622" s="3"/>
      <c r="H622" s="3"/>
      <c r="I622" s="3"/>
      <c r="J622" s="3"/>
      <c r="K622" s="3"/>
    </row>
    <row r="623" s="1" customFormat="1" spans="4:11">
      <c r="D623" s="2"/>
      <c r="E623" s="3"/>
      <c r="F623" s="3"/>
      <c r="G623" s="3"/>
      <c r="H623" s="3"/>
      <c r="I623" s="3"/>
      <c r="J623" s="3"/>
      <c r="K623" s="3"/>
    </row>
    <row r="624" s="1" customFormat="1" spans="4:11">
      <c r="D624" s="2"/>
      <c r="E624" s="3"/>
      <c r="F624" s="3"/>
      <c r="G624" s="3"/>
      <c r="H624" s="3"/>
      <c r="I624" s="3"/>
      <c r="J624" s="3"/>
      <c r="K624" s="3"/>
    </row>
    <row r="625" s="1" customFormat="1" spans="4:11">
      <c r="D625" s="2"/>
      <c r="E625" s="3"/>
      <c r="F625" s="3"/>
      <c r="G625" s="3"/>
      <c r="H625" s="3"/>
      <c r="I625" s="3"/>
      <c r="J625" s="3"/>
      <c r="K625" s="3"/>
    </row>
    <row r="626" s="1" customFormat="1" spans="4:11">
      <c r="D626" s="2"/>
      <c r="E626" s="3"/>
      <c r="F626" s="3"/>
      <c r="G626" s="3"/>
      <c r="H626" s="3"/>
      <c r="I626" s="3"/>
      <c r="J626" s="3"/>
      <c r="K626" s="3"/>
    </row>
    <row r="627" s="1" customFormat="1" spans="4:11">
      <c r="D627" s="2"/>
      <c r="E627" s="3"/>
      <c r="F627" s="3"/>
      <c r="G627" s="3"/>
      <c r="H627" s="3"/>
      <c r="I627" s="3"/>
      <c r="J627" s="3"/>
      <c r="K627" s="3"/>
    </row>
    <row r="628" s="1" customFormat="1" spans="4:11">
      <c r="D628" s="2"/>
      <c r="E628" s="3"/>
      <c r="F628" s="3"/>
      <c r="G628" s="3"/>
      <c r="H628" s="3"/>
      <c r="I628" s="3"/>
      <c r="J628" s="3"/>
      <c r="K628" s="3"/>
    </row>
    <row r="629" s="1" customFormat="1" spans="4:11">
      <c r="D629" s="2"/>
      <c r="E629" s="3"/>
      <c r="F629" s="3"/>
      <c r="G629" s="3"/>
      <c r="H629" s="3"/>
      <c r="I629" s="3"/>
      <c r="J629" s="3"/>
      <c r="K629" s="3"/>
    </row>
    <row r="630" s="1" customFormat="1" spans="4:11">
      <c r="D630" s="2"/>
      <c r="E630" s="3"/>
      <c r="F630" s="3"/>
      <c r="G630" s="3"/>
      <c r="H630" s="3"/>
      <c r="I630" s="3"/>
      <c r="J630" s="3"/>
      <c r="K630" s="3"/>
    </row>
    <row r="631" s="1" customFormat="1" spans="4:11">
      <c r="D631" s="2"/>
      <c r="E631" s="3"/>
      <c r="F631" s="3"/>
      <c r="G631" s="3"/>
      <c r="H631" s="3"/>
      <c r="I631" s="3"/>
      <c r="J631" s="3"/>
      <c r="K631" s="3"/>
    </row>
    <row r="632" s="1" customFormat="1" spans="4:11">
      <c r="D632" s="2"/>
      <c r="E632" s="3"/>
      <c r="F632" s="3"/>
      <c r="G632" s="3"/>
      <c r="H632" s="3"/>
      <c r="I632" s="3"/>
      <c r="J632" s="3"/>
      <c r="K632" s="3"/>
    </row>
    <row r="633" s="1" customFormat="1" spans="4:11">
      <c r="D633" s="2"/>
      <c r="E633" s="3"/>
      <c r="F633" s="3"/>
      <c r="G633" s="3"/>
      <c r="H633" s="3"/>
      <c r="I633" s="3"/>
      <c r="J633" s="3"/>
      <c r="K633" s="3"/>
    </row>
    <row r="634" s="1" customFormat="1" spans="4:11">
      <c r="D634" s="2"/>
      <c r="E634" s="3"/>
      <c r="F634" s="3"/>
      <c r="G634" s="3"/>
      <c r="H634" s="3"/>
      <c r="I634" s="3"/>
      <c r="J634" s="3"/>
      <c r="K634" s="3"/>
    </row>
    <row r="635" s="1" customFormat="1" spans="4:11">
      <c r="D635" s="2"/>
      <c r="E635" s="3"/>
      <c r="F635" s="3"/>
      <c r="G635" s="3"/>
      <c r="H635" s="3"/>
      <c r="I635" s="3"/>
      <c r="J635" s="3"/>
      <c r="K635" s="3"/>
    </row>
    <row r="636" s="1" customFormat="1" spans="4:11">
      <c r="D636" s="2"/>
      <c r="E636" s="3"/>
      <c r="F636" s="3"/>
      <c r="G636" s="3"/>
      <c r="H636" s="3"/>
      <c r="I636" s="3"/>
      <c r="J636" s="3"/>
      <c r="K636" s="3"/>
    </row>
    <row r="637" s="1" customFormat="1" spans="4:11">
      <c r="D637" s="2"/>
      <c r="E637" s="3"/>
      <c r="F637" s="3"/>
      <c r="G637" s="3"/>
      <c r="H637" s="3"/>
      <c r="I637" s="3"/>
      <c r="J637" s="3"/>
      <c r="K637" s="3"/>
    </row>
    <row r="638" s="1" customFormat="1" spans="4:11">
      <c r="D638" s="2"/>
      <c r="E638" s="3"/>
      <c r="F638" s="3"/>
      <c r="G638" s="3"/>
      <c r="H638" s="3"/>
      <c r="I638" s="3"/>
      <c r="J638" s="3"/>
      <c r="K638" s="3"/>
    </row>
    <row r="639" s="1" customFormat="1" spans="4:11">
      <c r="D639" s="2"/>
      <c r="E639" s="3"/>
      <c r="F639" s="3"/>
      <c r="G639" s="3"/>
      <c r="H639" s="3"/>
      <c r="I639" s="3"/>
      <c r="J639" s="3"/>
      <c r="K639" s="3"/>
    </row>
    <row r="640" s="1" customFormat="1" spans="4:11">
      <c r="D640" s="2"/>
      <c r="E640" s="3"/>
      <c r="F640" s="3"/>
      <c r="G640" s="3"/>
      <c r="H640" s="3"/>
      <c r="I640" s="3"/>
      <c r="J640" s="3"/>
      <c r="K640" s="3"/>
    </row>
    <row r="641" s="1" customFormat="1" spans="4:11">
      <c r="D641" s="2"/>
      <c r="E641" s="3"/>
      <c r="F641" s="3"/>
      <c r="G641" s="3"/>
      <c r="H641" s="3"/>
      <c r="I641" s="3"/>
      <c r="J641" s="3"/>
      <c r="K641" s="3"/>
    </row>
    <row r="642" s="1" customFormat="1" spans="4:11">
      <c r="D642" s="2"/>
      <c r="E642" s="3"/>
      <c r="F642" s="3"/>
      <c r="G642" s="3"/>
      <c r="H642" s="3"/>
      <c r="I642" s="3"/>
      <c r="J642" s="3"/>
      <c r="K642" s="3"/>
    </row>
    <row r="643" s="1" customFormat="1" spans="4:11">
      <c r="D643" s="2"/>
      <c r="E643" s="3"/>
      <c r="F643" s="3"/>
      <c r="G643" s="3"/>
      <c r="H643" s="3"/>
      <c r="I643" s="3"/>
      <c r="J643" s="3"/>
      <c r="K643" s="3"/>
    </row>
    <row r="644" s="1" customFormat="1" spans="4:11">
      <c r="D644" s="2"/>
      <c r="E644" s="3"/>
      <c r="F644" s="3"/>
      <c r="G644" s="3"/>
      <c r="H644" s="3"/>
      <c r="I644" s="3"/>
      <c r="J644" s="3"/>
      <c r="K644" s="3"/>
    </row>
    <row r="645" s="1" customFormat="1" spans="4:11">
      <c r="D645" s="2"/>
      <c r="E645" s="3"/>
      <c r="F645" s="3"/>
      <c r="G645" s="3"/>
      <c r="H645" s="3"/>
      <c r="I645" s="3"/>
      <c r="J645" s="3"/>
      <c r="K645" s="3"/>
    </row>
    <row r="646" s="1" customFormat="1" spans="4:11">
      <c r="D646" s="2"/>
      <c r="E646" s="3"/>
      <c r="F646" s="3"/>
      <c r="G646" s="3"/>
      <c r="H646" s="3"/>
      <c r="I646" s="3"/>
      <c r="J646" s="3"/>
      <c r="K646" s="3"/>
    </row>
    <row r="647" s="1" customFormat="1" spans="4:11">
      <c r="D647" s="2"/>
      <c r="E647" s="3"/>
      <c r="F647" s="3"/>
      <c r="G647" s="3"/>
      <c r="H647" s="3"/>
      <c r="I647" s="3"/>
      <c r="J647" s="3"/>
      <c r="K647" s="3"/>
    </row>
    <row r="648" s="1" customFormat="1" spans="4:11">
      <c r="D648" s="2"/>
      <c r="E648" s="3"/>
      <c r="F648" s="3"/>
      <c r="G648" s="3"/>
      <c r="H648" s="3"/>
      <c r="I648" s="3"/>
      <c r="J648" s="3"/>
      <c r="K648" s="3"/>
    </row>
    <row r="649" s="1" customFormat="1" spans="4:11">
      <c r="D649" s="2"/>
      <c r="E649" s="3"/>
      <c r="F649" s="3"/>
      <c r="G649" s="3"/>
      <c r="H649" s="3"/>
      <c r="I649" s="3"/>
      <c r="J649" s="3"/>
      <c r="K649" s="3"/>
    </row>
    <row r="650" s="1" customFormat="1" spans="4:11">
      <c r="D650" s="2"/>
      <c r="E650" s="3"/>
      <c r="F650" s="3"/>
      <c r="G650" s="3"/>
      <c r="H650" s="3"/>
      <c r="I650" s="3"/>
      <c r="J650" s="3"/>
      <c r="K650" s="3"/>
    </row>
    <row r="651" s="1" customFormat="1" spans="4:11">
      <c r="D651" s="2"/>
      <c r="E651" s="3"/>
      <c r="F651" s="3"/>
      <c r="G651" s="3"/>
      <c r="H651" s="3"/>
      <c r="I651" s="3"/>
      <c r="J651" s="3"/>
      <c r="K651" s="3"/>
    </row>
    <row r="652" s="1" customFormat="1" spans="4:11">
      <c r="D652" s="2"/>
      <c r="E652" s="3"/>
      <c r="F652" s="3"/>
      <c r="G652" s="3"/>
      <c r="H652" s="3"/>
      <c r="I652" s="3"/>
      <c r="J652" s="3"/>
      <c r="K652" s="3"/>
    </row>
    <row r="653" s="1" customFormat="1" spans="4:11">
      <c r="D653" s="2"/>
      <c r="E653" s="3"/>
      <c r="F653" s="3"/>
      <c r="G653" s="3"/>
      <c r="H653" s="3"/>
      <c r="I653" s="3"/>
      <c r="J653" s="3"/>
      <c r="K653" s="3"/>
    </row>
    <row r="654" s="1" customFormat="1" spans="4:11">
      <c r="D654" s="2"/>
      <c r="E654" s="3"/>
      <c r="F654" s="3"/>
      <c r="G654" s="3"/>
      <c r="H654" s="3"/>
      <c r="I654" s="3"/>
      <c r="J654" s="3"/>
      <c r="K654" s="3"/>
    </row>
    <row r="655" s="1" customFormat="1" spans="4:11">
      <c r="D655" s="2"/>
      <c r="E655" s="3"/>
      <c r="F655" s="3"/>
      <c r="G655" s="3"/>
      <c r="H655" s="3"/>
      <c r="I655" s="3"/>
      <c r="J655" s="3"/>
      <c r="K655" s="3"/>
    </row>
    <row r="656" s="1" customFormat="1" spans="4:11">
      <c r="D656" s="2"/>
      <c r="E656" s="3"/>
      <c r="F656" s="3"/>
      <c r="G656" s="3"/>
      <c r="H656" s="3"/>
      <c r="I656" s="3"/>
      <c r="J656" s="3"/>
      <c r="K656" s="3"/>
    </row>
    <row r="657" s="1" customFormat="1" spans="4:11">
      <c r="D657" s="2"/>
      <c r="E657" s="3"/>
      <c r="F657" s="3"/>
      <c r="G657" s="3"/>
      <c r="H657" s="3"/>
      <c r="I657" s="3"/>
      <c r="J657" s="3"/>
      <c r="K657" s="3"/>
    </row>
    <row r="658" s="1" customFormat="1" spans="4:11">
      <c r="D658" s="2"/>
      <c r="E658" s="3"/>
      <c r="F658" s="3"/>
      <c r="G658" s="3"/>
      <c r="H658" s="3"/>
      <c r="I658" s="3"/>
      <c r="J658" s="3"/>
      <c r="K658" s="3"/>
    </row>
    <row r="659" s="1" customFormat="1" spans="4:11">
      <c r="D659" s="2"/>
      <c r="E659" s="3"/>
      <c r="F659" s="3"/>
      <c r="G659" s="3"/>
      <c r="H659" s="3"/>
      <c r="I659" s="3"/>
      <c r="J659" s="3"/>
      <c r="K659" s="3"/>
    </row>
    <row r="660" s="1" customFormat="1" spans="4:11">
      <c r="D660" s="2"/>
      <c r="E660" s="3"/>
      <c r="F660" s="3"/>
      <c r="G660" s="3"/>
      <c r="H660" s="3"/>
      <c r="I660" s="3"/>
      <c r="J660" s="3"/>
      <c r="K660" s="3"/>
    </row>
    <row r="661" s="1" customFormat="1" spans="4:11">
      <c r="D661" s="2"/>
      <c r="E661" s="3"/>
      <c r="F661" s="3"/>
      <c r="G661" s="3"/>
      <c r="H661" s="3"/>
      <c r="I661" s="3"/>
      <c r="J661" s="3"/>
      <c r="K661" s="3"/>
    </row>
    <row r="662" s="1" customFormat="1" spans="4:11">
      <c r="D662" s="2"/>
      <c r="E662" s="3"/>
      <c r="F662" s="3"/>
      <c r="G662" s="3"/>
      <c r="H662" s="3"/>
      <c r="I662" s="3"/>
      <c r="J662" s="3"/>
      <c r="K662" s="3"/>
    </row>
    <row r="663" s="1" customFormat="1" spans="4:11">
      <c r="D663" s="2"/>
      <c r="E663" s="3"/>
      <c r="F663" s="3"/>
      <c r="G663" s="3"/>
      <c r="H663" s="3"/>
      <c r="I663" s="3"/>
      <c r="J663" s="3"/>
      <c r="K663" s="3"/>
    </row>
    <row r="664" s="1" customFormat="1" spans="4:11">
      <c r="D664" s="2"/>
      <c r="E664" s="3"/>
      <c r="F664" s="3"/>
      <c r="G664" s="3"/>
      <c r="H664" s="3"/>
      <c r="I664" s="3"/>
      <c r="J664" s="3"/>
      <c r="K664" s="3"/>
    </row>
    <row r="665" s="1" customFormat="1" spans="4:11">
      <c r="D665" s="2"/>
      <c r="E665" s="3"/>
      <c r="F665" s="3"/>
      <c r="G665" s="3"/>
      <c r="H665" s="3"/>
      <c r="I665" s="3"/>
      <c r="J665" s="3"/>
      <c r="K665" s="3"/>
    </row>
    <row r="666" s="1" customFormat="1" spans="4:11">
      <c r="D666" s="2"/>
      <c r="E666" s="3"/>
      <c r="F666" s="3"/>
      <c r="G666" s="3"/>
      <c r="H666" s="3"/>
      <c r="I666" s="3"/>
      <c r="J666" s="3"/>
      <c r="K666" s="3"/>
    </row>
    <row r="667" s="1" customFormat="1" spans="4:11">
      <c r="D667" s="2"/>
      <c r="E667" s="3"/>
      <c r="F667" s="3"/>
      <c r="G667" s="3"/>
      <c r="H667" s="3"/>
      <c r="I667" s="3"/>
      <c r="J667" s="3"/>
      <c r="K667" s="3"/>
    </row>
    <row r="668" s="1" customFormat="1" spans="4:11">
      <c r="D668" s="2"/>
      <c r="E668" s="3"/>
      <c r="F668" s="3"/>
      <c r="G668" s="3"/>
      <c r="H668" s="3"/>
      <c r="I668" s="3"/>
      <c r="J668" s="3"/>
      <c r="K668" s="3"/>
    </row>
    <row r="669" s="1" customFormat="1" spans="4:11">
      <c r="D669" s="2"/>
      <c r="E669" s="3"/>
      <c r="F669" s="3"/>
      <c r="G669" s="3"/>
      <c r="H669" s="3"/>
      <c r="I669" s="3"/>
      <c r="J669" s="3"/>
      <c r="K669" s="3"/>
    </row>
    <row r="670" s="1" customFormat="1" spans="4:11">
      <c r="D670" s="2"/>
      <c r="E670" s="3"/>
      <c r="F670" s="3"/>
      <c r="G670" s="3"/>
      <c r="H670" s="3"/>
      <c r="I670" s="3"/>
      <c r="J670" s="3"/>
      <c r="K670" s="3"/>
    </row>
    <row r="671" s="1" customFormat="1" spans="4:11">
      <c r="D671" s="2"/>
      <c r="E671" s="3"/>
      <c r="F671" s="3"/>
      <c r="G671" s="3"/>
      <c r="H671" s="3"/>
      <c r="I671" s="3"/>
      <c r="J671" s="3"/>
      <c r="K671" s="3"/>
    </row>
    <row r="672" s="1" customFormat="1" spans="4:11">
      <c r="D672" s="2"/>
      <c r="E672" s="3"/>
      <c r="F672" s="3"/>
      <c r="G672" s="3"/>
      <c r="H672" s="3"/>
      <c r="I672" s="3"/>
      <c r="J672" s="3"/>
      <c r="K672" s="3"/>
    </row>
    <row r="673" s="1" customFormat="1" spans="4:11">
      <c r="D673" s="2"/>
      <c r="E673" s="3"/>
      <c r="F673" s="3"/>
      <c r="G673" s="3"/>
      <c r="H673" s="3"/>
      <c r="I673" s="3"/>
      <c r="J673" s="3"/>
      <c r="K673" s="3"/>
    </row>
    <row r="674" s="1" customFormat="1" spans="4:11">
      <c r="D674" s="2"/>
      <c r="E674" s="3"/>
      <c r="F674" s="3"/>
      <c r="G674" s="3"/>
      <c r="H674" s="3"/>
      <c r="I674" s="3"/>
      <c r="J674" s="3"/>
      <c r="K674" s="3"/>
    </row>
    <row r="675" s="1" customFormat="1" spans="4:11">
      <c r="D675" s="2"/>
      <c r="E675" s="3"/>
      <c r="F675" s="3"/>
      <c r="G675" s="3"/>
      <c r="H675" s="3"/>
      <c r="I675" s="3"/>
      <c r="J675" s="3"/>
      <c r="K675" s="3"/>
    </row>
    <row r="676" s="1" customFormat="1" spans="4:11">
      <c r="D676" s="2"/>
      <c r="E676" s="3"/>
      <c r="F676" s="3"/>
      <c r="G676" s="3"/>
      <c r="H676" s="3"/>
      <c r="I676" s="3"/>
      <c r="J676" s="3"/>
      <c r="K676" s="3"/>
    </row>
    <row r="677" s="1" customFormat="1" spans="4:11">
      <c r="D677" s="2"/>
      <c r="E677" s="3"/>
      <c r="F677" s="3"/>
      <c r="G677" s="3"/>
      <c r="H677" s="3"/>
      <c r="I677" s="3"/>
      <c r="J677" s="3"/>
      <c r="K677" s="3"/>
    </row>
    <row r="678" s="1" customFormat="1" spans="4:11">
      <c r="D678" s="2"/>
      <c r="E678" s="3"/>
      <c r="F678" s="3"/>
      <c r="G678" s="3"/>
      <c r="H678" s="3"/>
      <c r="I678" s="3"/>
      <c r="J678" s="3"/>
      <c r="K678" s="3"/>
    </row>
    <row r="679" s="1" customFormat="1" spans="4:11">
      <c r="D679" s="2"/>
      <c r="E679" s="3"/>
      <c r="F679" s="3"/>
      <c r="G679" s="3"/>
      <c r="H679" s="3"/>
      <c r="I679" s="3"/>
      <c r="J679" s="3"/>
      <c r="K679" s="3"/>
    </row>
    <row r="680" s="1" customFormat="1" spans="4:11">
      <c r="D680" s="2"/>
      <c r="E680" s="3"/>
      <c r="F680" s="3"/>
      <c r="G680" s="3"/>
      <c r="H680" s="3"/>
      <c r="I680" s="3"/>
      <c r="J680" s="3"/>
      <c r="K680" s="3"/>
    </row>
    <row r="681" s="1" customFormat="1" spans="4:11">
      <c r="D681" s="2"/>
      <c r="E681" s="3"/>
      <c r="F681" s="3"/>
      <c r="G681" s="3"/>
      <c r="H681" s="3"/>
      <c r="I681" s="3"/>
      <c r="J681" s="3"/>
      <c r="K681" s="3"/>
    </row>
    <row r="682" s="1" customFormat="1" spans="4:11">
      <c r="D682" s="2"/>
      <c r="E682" s="3"/>
      <c r="F682" s="3"/>
      <c r="G682" s="3"/>
      <c r="H682" s="3"/>
      <c r="I682" s="3"/>
      <c r="J682" s="3"/>
      <c r="K682" s="3"/>
    </row>
    <row r="683" s="1" customFormat="1" spans="4:11">
      <c r="D683" s="2"/>
      <c r="E683" s="3"/>
      <c r="F683" s="3"/>
      <c r="G683" s="3"/>
      <c r="H683" s="3"/>
      <c r="I683" s="3"/>
      <c r="J683" s="3"/>
      <c r="K683" s="3"/>
    </row>
    <row r="684" s="1" customFormat="1" spans="4:11">
      <c r="D684" s="2"/>
      <c r="E684" s="3"/>
      <c r="F684" s="3"/>
      <c r="G684" s="3"/>
      <c r="H684" s="3"/>
      <c r="I684" s="3"/>
      <c r="J684" s="3"/>
      <c r="K684" s="3"/>
    </row>
    <row r="685" s="1" customFormat="1" spans="4:11">
      <c r="D685" s="2"/>
      <c r="E685" s="3"/>
      <c r="F685" s="3"/>
      <c r="G685" s="3"/>
      <c r="H685" s="3"/>
      <c r="I685" s="3"/>
      <c r="J685" s="3"/>
      <c r="K685" s="3"/>
    </row>
    <row r="686" s="1" customFormat="1" spans="4:11">
      <c r="D686" s="2"/>
      <c r="E686" s="3"/>
      <c r="F686" s="3"/>
      <c r="G686" s="3"/>
      <c r="H686" s="3"/>
      <c r="I686" s="3"/>
      <c r="J686" s="3"/>
      <c r="K686" s="3"/>
    </row>
    <row r="687" s="1" customFormat="1" spans="4:11">
      <c r="D687" s="2"/>
      <c r="E687" s="3"/>
      <c r="F687" s="3"/>
      <c r="G687" s="3"/>
      <c r="H687" s="3"/>
      <c r="I687" s="3"/>
      <c r="J687" s="3"/>
      <c r="K687" s="3"/>
    </row>
    <row r="688" s="1" customFormat="1" spans="4:11">
      <c r="D688" s="2"/>
      <c r="E688" s="3"/>
      <c r="F688" s="3"/>
      <c r="G688" s="3"/>
      <c r="H688" s="3"/>
      <c r="I688" s="3"/>
      <c r="J688" s="3"/>
      <c r="K688" s="3"/>
    </row>
    <row r="689" s="1" customFormat="1" spans="4:11">
      <c r="D689" s="2"/>
      <c r="E689" s="3"/>
      <c r="F689" s="3"/>
      <c r="G689" s="3"/>
      <c r="H689" s="3"/>
      <c r="I689" s="3"/>
      <c r="J689" s="3"/>
      <c r="K689" s="3"/>
    </row>
    <row r="690" s="1" customFormat="1" spans="4:11">
      <c r="D690" s="2"/>
      <c r="E690" s="3"/>
      <c r="F690" s="3"/>
      <c r="G690" s="3"/>
      <c r="H690" s="3"/>
      <c r="I690" s="3"/>
      <c r="J690" s="3"/>
      <c r="K690" s="3"/>
    </row>
    <row r="691" s="1" customFormat="1" spans="4:11">
      <c r="D691" s="2"/>
      <c r="E691" s="3"/>
      <c r="F691" s="3"/>
      <c r="G691" s="3"/>
      <c r="H691" s="3"/>
      <c r="I691" s="3"/>
      <c r="J691" s="3"/>
      <c r="K691" s="3"/>
    </row>
    <row r="692" s="1" customFormat="1" spans="4:11">
      <c r="D692" s="2"/>
      <c r="E692" s="3"/>
      <c r="F692" s="3"/>
      <c r="G692" s="3"/>
      <c r="H692" s="3"/>
      <c r="I692" s="3"/>
      <c r="J692" s="3"/>
      <c r="K692" s="3"/>
    </row>
    <row r="693" s="1" customFormat="1" spans="4:11">
      <c r="D693" s="2"/>
      <c r="E693" s="3"/>
      <c r="F693" s="3"/>
      <c r="G693" s="3"/>
      <c r="H693" s="3"/>
      <c r="I693" s="3"/>
      <c r="J693" s="3"/>
      <c r="K693" s="3"/>
    </row>
    <row r="694" s="1" customFormat="1" spans="4:11">
      <c r="D694" s="2"/>
      <c r="E694" s="3"/>
      <c r="F694" s="3"/>
      <c r="G694" s="3"/>
      <c r="H694" s="3"/>
      <c r="I694" s="3"/>
      <c r="J694" s="3"/>
      <c r="K694" s="3"/>
    </row>
    <row r="695" s="1" customFormat="1" spans="4:11">
      <c r="D695" s="2"/>
      <c r="E695" s="3"/>
      <c r="F695" s="3"/>
      <c r="G695" s="3"/>
      <c r="H695" s="3"/>
      <c r="I695" s="3"/>
      <c r="J695" s="3"/>
      <c r="K695" s="3"/>
    </row>
    <row r="696" s="1" customFormat="1" spans="4:11">
      <c r="D696" s="2"/>
      <c r="E696" s="3"/>
      <c r="F696" s="3"/>
      <c r="G696" s="3"/>
      <c r="H696" s="3"/>
      <c r="I696" s="3"/>
      <c r="J696" s="3"/>
      <c r="K696" s="3"/>
    </row>
    <row r="697" s="1" customFormat="1" spans="4:11">
      <c r="D697" s="2"/>
      <c r="E697" s="3"/>
      <c r="F697" s="3"/>
      <c r="G697" s="3"/>
      <c r="H697" s="3"/>
      <c r="I697" s="3"/>
      <c r="J697" s="3"/>
      <c r="K697" s="3"/>
    </row>
    <row r="698" s="1" customFormat="1" spans="4:11">
      <c r="D698" s="2"/>
      <c r="E698" s="3"/>
      <c r="F698" s="3"/>
      <c r="G698" s="3"/>
      <c r="H698" s="3"/>
      <c r="I698" s="3"/>
      <c r="J698" s="3"/>
      <c r="K698" s="3"/>
    </row>
    <row r="699" s="1" customFormat="1" spans="4:11">
      <c r="D699" s="2"/>
      <c r="E699" s="3"/>
      <c r="F699" s="3"/>
      <c r="G699" s="3"/>
      <c r="H699" s="3"/>
      <c r="I699" s="3"/>
      <c r="J699" s="3"/>
      <c r="K699" s="3"/>
    </row>
    <row r="700" s="1" customFormat="1" spans="4:11">
      <c r="D700" s="2"/>
      <c r="E700" s="3"/>
      <c r="F700" s="3"/>
      <c r="G700" s="3"/>
      <c r="H700" s="3"/>
      <c r="I700" s="3"/>
      <c r="J700" s="3"/>
      <c r="K700" s="3"/>
    </row>
    <row r="701" s="1" customFormat="1" spans="4:11">
      <c r="D701" s="2"/>
      <c r="E701" s="3"/>
      <c r="F701" s="3"/>
      <c r="G701" s="3"/>
      <c r="H701" s="3"/>
      <c r="I701" s="3"/>
      <c r="J701" s="3"/>
      <c r="K701" s="3"/>
    </row>
    <row r="702" s="1" customFormat="1" spans="4:11">
      <c r="D702" s="2"/>
      <c r="E702" s="3"/>
      <c r="F702" s="3"/>
      <c r="G702" s="3"/>
      <c r="H702" s="3"/>
      <c r="I702" s="3"/>
      <c r="J702" s="3"/>
      <c r="K702" s="3"/>
    </row>
    <row r="703" s="1" customFormat="1" spans="4:11">
      <c r="D703" s="2"/>
      <c r="E703" s="3"/>
      <c r="F703" s="3"/>
      <c r="G703" s="3"/>
      <c r="H703" s="3"/>
      <c r="I703" s="3"/>
      <c r="J703" s="3"/>
      <c r="K703" s="3"/>
    </row>
    <row r="704" s="1" customFormat="1" spans="4:11">
      <c r="D704" s="2"/>
      <c r="E704" s="3"/>
      <c r="F704" s="3"/>
      <c r="G704" s="3"/>
      <c r="H704" s="3"/>
      <c r="I704" s="3"/>
      <c r="J704" s="3"/>
      <c r="K704" s="3"/>
    </row>
    <row r="705" s="1" customFormat="1" spans="4:11">
      <c r="D705" s="2"/>
      <c r="E705" s="3"/>
      <c r="F705" s="3"/>
      <c r="G705" s="3"/>
      <c r="H705" s="3"/>
      <c r="I705" s="3"/>
      <c r="J705" s="3"/>
      <c r="K705" s="3"/>
    </row>
    <row r="706" s="1" customFormat="1" spans="4:11">
      <c r="D706" s="2"/>
      <c r="E706" s="3"/>
      <c r="F706" s="3"/>
      <c r="G706" s="3"/>
      <c r="H706" s="3"/>
      <c r="I706" s="3"/>
      <c r="J706" s="3"/>
      <c r="K706" s="3"/>
    </row>
    <row r="707" s="1" customFormat="1" spans="4:11">
      <c r="D707" s="2"/>
      <c r="E707" s="3"/>
      <c r="F707" s="3"/>
      <c r="G707" s="3"/>
      <c r="H707" s="3"/>
      <c r="I707" s="3"/>
      <c r="J707" s="3"/>
      <c r="K707" s="3"/>
    </row>
    <row r="708" s="1" customFormat="1" spans="4:11">
      <c r="D708" s="2"/>
      <c r="E708" s="3"/>
      <c r="F708" s="3"/>
      <c r="G708" s="3"/>
      <c r="H708" s="3"/>
      <c r="I708" s="3"/>
      <c r="J708" s="3"/>
      <c r="K708" s="3"/>
    </row>
    <row r="709" s="1" customFormat="1" spans="4:11">
      <c r="D709" s="2"/>
      <c r="E709" s="3"/>
      <c r="F709" s="3"/>
      <c r="G709" s="3"/>
      <c r="H709" s="3"/>
      <c r="I709" s="3"/>
      <c r="J709" s="3"/>
      <c r="K709" s="3"/>
    </row>
    <row r="710" s="1" customFormat="1" spans="4:11">
      <c r="D710" s="2"/>
      <c r="E710" s="3"/>
      <c r="F710" s="3"/>
      <c r="G710" s="3"/>
      <c r="H710" s="3"/>
      <c r="I710" s="3"/>
      <c r="J710" s="3"/>
      <c r="K710" s="3"/>
    </row>
    <row r="711" s="1" customFormat="1" spans="4:11">
      <c r="D711" s="2"/>
      <c r="E711" s="3"/>
      <c r="F711" s="3"/>
      <c r="G711" s="3"/>
      <c r="H711" s="3"/>
      <c r="I711" s="3"/>
      <c r="J711" s="3"/>
      <c r="K711" s="3"/>
    </row>
    <row r="712" s="1" customFormat="1" spans="4:11">
      <c r="D712" s="2"/>
      <c r="E712" s="3"/>
      <c r="F712" s="3"/>
      <c r="G712" s="3"/>
      <c r="H712" s="3"/>
      <c r="I712" s="3"/>
      <c r="J712" s="3"/>
      <c r="K712" s="3"/>
    </row>
    <row r="713" s="1" customFormat="1" spans="4:11">
      <c r="D713" s="2"/>
      <c r="E713" s="3"/>
      <c r="F713" s="3"/>
      <c r="G713" s="3"/>
      <c r="H713" s="3"/>
      <c r="I713" s="3"/>
      <c r="J713" s="3"/>
      <c r="K713" s="3"/>
    </row>
    <row r="714" s="1" customFormat="1" spans="4:11">
      <c r="D714" s="2"/>
      <c r="E714" s="3"/>
      <c r="F714" s="3"/>
      <c r="G714" s="3"/>
      <c r="H714" s="3"/>
      <c r="I714" s="3"/>
      <c r="J714" s="3"/>
      <c r="K714" s="3"/>
    </row>
    <row r="715" s="1" customFormat="1" spans="4:11">
      <c r="D715" s="2"/>
      <c r="E715" s="3"/>
      <c r="F715" s="3"/>
      <c r="G715" s="3"/>
      <c r="H715" s="3"/>
      <c r="I715" s="3"/>
      <c r="J715" s="3"/>
      <c r="K715" s="3"/>
    </row>
    <row r="716" s="1" customFormat="1" spans="4:11">
      <c r="D716" s="2"/>
      <c r="E716" s="3"/>
      <c r="F716" s="3"/>
      <c r="G716" s="3"/>
      <c r="H716" s="3"/>
      <c r="I716" s="3"/>
      <c r="J716" s="3"/>
      <c r="K716" s="3"/>
    </row>
    <row r="717" s="1" customFormat="1" spans="4:11">
      <c r="D717" s="2"/>
      <c r="E717" s="3"/>
      <c r="F717" s="3"/>
      <c r="G717" s="3"/>
      <c r="H717" s="3"/>
      <c r="I717" s="3"/>
      <c r="J717" s="3"/>
      <c r="K717" s="3"/>
    </row>
    <row r="718" s="1" customFormat="1" spans="4:11">
      <c r="D718" s="2"/>
      <c r="E718" s="3"/>
      <c r="F718" s="3"/>
      <c r="G718" s="3"/>
      <c r="H718" s="3"/>
      <c r="I718" s="3"/>
      <c r="J718" s="3"/>
      <c r="K718" s="3"/>
    </row>
    <row r="719" s="1" customFormat="1" spans="4:11">
      <c r="D719" s="2"/>
      <c r="E719" s="3"/>
      <c r="F719" s="3"/>
      <c r="G719" s="3"/>
      <c r="H719" s="3"/>
      <c r="I719" s="3"/>
      <c r="J719" s="3"/>
      <c r="K719" s="3"/>
    </row>
    <row r="720" s="1" customFormat="1" spans="4:11">
      <c r="D720" s="2"/>
      <c r="E720" s="3"/>
      <c r="F720" s="3"/>
      <c r="G720" s="3"/>
      <c r="H720" s="3"/>
      <c r="I720" s="3"/>
      <c r="J720" s="3"/>
      <c r="K720" s="3"/>
    </row>
    <row r="721" s="1" customFormat="1" spans="4:11">
      <c r="D721" s="2"/>
      <c r="E721" s="3"/>
      <c r="F721" s="3"/>
      <c r="G721" s="3"/>
      <c r="H721" s="3"/>
      <c r="I721" s="3"/>
      <c r="J721" s="3"/>
      <c r="K721" s="3"/>
    </row>
    <row r="722" s="1" customFormat="1" spans="4:11">
      <c r="D722" s="2"/>
      <c r="E722" s="3"/>
      <c r="F722" s="3"/>
      <c r="G722" s="3"/>
      <c r="H722" s="3"/>
      <c r="I722" s="3"/>
      <c r="J722" s="3"/>
      <c r="K722" s="3"/>
    </row>
    <row r="723" s="1" customFormat="1" spans="4:11">
      <c r="D723" s="2"/>
      <c r="E723" s="3"/>
      <c r="F723" s="3"/>
      <c r="G723" s="3"/>
      <c r="H723" s="3"/>
      <c r="I723" s="3"/>
      <c r="J723" s="3"/>
      <c r="K723" s="3"/>
    </row>
    <row r="724" s="1" customFormat="1" spans="4:11">
      <c r="D724" s="2"/>
      <c r="E724" s="3"/>
      <c r="F724" s="3"/>
      <c r="G724" s="3"/>
      <c r="H724" s="3"/>
      <c r="I724" s="3"/>
      <c r="J724" s="3"/>
      <c r="K724" s="3"/>
    </row>
    <row r="725" s="1" customFormat="1" spans="4:11">
      <c r="D725" s="2"/>
      <c r="E725" s="3"/>
      <c r="F725" s="3"/>
      <c r="G725" s="3"/>
      <c r="H725" s="3"/>
      <c r="I725" s="3"/>
      <c r="J725" s="3"/>
      <c r="K725" s="3"/>
    </row>
    <row r="726" s="1" customFormat="1" spans="4:11">
      <c r="D726" s="2"/>
      <c r="E726" s="3"/>
      <c r="F726" s="3"/>
      <c r="G726" s="3"/>
      <c r="H726" s="3"/>
      <c r="I726" s="3"/>
      <c r="J726" s="3"/>
      <c r="K726" s="3"/>
    </row>
    <row r="727" s="1" customFormat="1" spans="4:11">
      <c r="D727" s="2"/>
      <c r="E727" s="3"/>
      <c r="F727" s="3"/>
      <c r="G727" s="3"/>
      <c r="H727" s="3"/>
      <c r="I727" s="3"/>
      <c r="J727" s="3"/>
      <c r="K727" s="3"/>
    </row>
    <row r="728" s="1" customFormat="1" spans="4:11">
      <c r="D728" s="2"/>
      <c r="E728" s="3"/>
      <c r="F728" s="3"/>
      <c r="G728" s="3"/>
      <c r="H728" s="3"/>
      <c r="I728" s="3"/>
      <c r="J728" s="3"/>
      <c r="K728" s="3"/>
    </row>
    <row r="729" s="1" customFormat="1" spans="4:11">
      <c r="D729" s="2"/>
      <c r="E729" s="3"/>
      <c r="F729" s="3"/>
      <c r="G729" s="3"/>
      <c r="H729" s="3"/>
      <c r="I729" s="3"/>
      <c r="J729" s="3"/>
      <c r="K729" s="3"/>
    </row>
    <row r="730" s="1" customFormat="1" spans="4:11">
      <c r="D730" s="2"/>
      <c r="E730" s="3"/>
      <c r="F730" s="3"/>
      <c r="G730" s="3"/>
      <c r="H730" s="3"/>
      <c r="I730" s="3"/>
      <c r="J730" s="3"/>
      <c r="K730" s="3"/>
    </row>
    <row r="731" s="1" customFormat="1" spans="4:11">
      <c r="D731" s="2"/>
      <c r="E731" s="3"/>
      <c r="F731" s="3"/>
      <c r="G731" s="3"/>
      <c r="H731" s="3"/>
      <c r="I731" s="3"/>
      <c r="J731" s="3"/>
      <c r="K731" s="3"/>
    </row>
    <row r="732" s="1" customFormat="1" spans="4:11">
      <c r="D732" s="2"/>
      <c r="E732" s="3"/>
      <c r="F732" s="3"/>
      <c r="G732" s="3"/>
      <c r="H732" s="3"/>
      <c r="I732" s="3"/>
      <c r="J732" s="3"/>
      <c r="K732" s="3"/>
    </row>
    <row r="733" s="1" customFormat="1" spans="4:11">
      <c r="D733" s="2"/>
      <c r="E733" s="3"/>
      <c r="F733" s="3"/>
      <c r="G733" s="3"/>
      <c r="H733" s="3"/>
      <c r="I733" s="3"/>
      <c r="J733" s="3"/>
      <c r="K733" s="3"/>
    </row>
    <row r="734" s="1" customFormat="1" spans="4:11">
      <c r="D734" s="2"/>
      <c r="E734" s="3"/>
      <c r="F734" s="3"/>
      <c r="G734" s="3"/>
      <c r="H734" s="3"/>
      <c r="I734" s="3"/>
      <c r="J734" s="3"/>
      <c r="K734" s="3"/>
    </row>
    <row r="735" s="1" customFormat="1" spans="4:11">
      <c r="D735" s="2"/>
      <c r="E735" s="3"/>
      <c r="F735" s="3"/>
      <c r="G735" s="3"/>
      <c r="H735" s="3"/>
      <c r="I735" s="3"/>
      <c r="J735" s="3"/>
      <c r="K735" s="3"/>
    </row>
    <row r="736" s="1" customFormat="1" spans="4:11">
      <c r="D736" s="2"/>
      <c r="E736" s="3"/>
      <c r="F736" s="3"/>
      <c r="G736" s="3"/>
      <c r="H736" s="3"/>
      <c r="I736" s="3"/>
      <c r="J736" s="3"/>
      <c r="K736" s="3"/>
    </row>
    <row r="737" s="1" customFormat="1" spans="4:11">
      <c r="D737" s="2"/>
      <c r="E737" s="3"/>
      <c r="F737" s="3"/>
      <c r="G737" s="3"/>
      <c r="H737" s="3"/>
      <c r="I737" s="3"/>
      <c r="J737" s="3"/>
      <c r="K737" s="3"/>
    </row>
    <row r="738" s="1" customFormat="1" spans="4:11">
      <c r="D738" s="2"/>
      <c r="E738" s="3"/>
      <c r="F738" s="3"/>
      <c r="G738" s="3"/>
      <c r="H738" s="3"/>
      <c r="I738" s="3"/>
      <c r="J738" s="3"/>
      <c r="K738" s="3"/>
    </row>
    <row r="739" s="1" customFormat="1" spans="4:11">
      <c r="D739" s="2"/>
      <c r="E739" s="3"/>
      <c r="F739" s="3"/>
      <c r="G739" s="3"/>
      <c r="H739" s="3"/>
      <c r="I739" s="3"/>
      <c r="J739" s="3"/>
      <c r="K739" s="3"/>
    </row>
    <row r="740" s="1" customFormat="1" spans="4:11">
      <c r="D740" s="2"/>
      <c r="E740" s="3"/>
      <c r="F740" s="3"/>
      <c r="G740" s="3"/>
      <c r="H740" s="3"/>
      <c r="I740" s="3"/>
      <c r="J740" s="3"/>
      <c r="K740" s="3"/>
    </row>
    <row r="741" s="1" customFormat="1" spans="4:11">
      <c r="D741" s="2"/>
      <c r="E741" s="3"/>
      <c r="F741" s="3"/>
      <c r="G741" s="3"/>
      <c r="H741" s="3"/>
      <c r="I741" s="3"/>
      <c r="J741" s="3"/>
      <c r="K741" s="3"/>
    </row>
    <row r="742" s="1" customFormat="1" spans="4:11">
      <c r="D742" s="2"/>
      <c r="E742" s="3"/>
      <c r="F742" s="3"/>
      <c r="G742" s="3"/>
      <c r="H742" s="3"/>
      <c r="I742" s="3"/>
      <c r="J742" s="3"/>
      <c r="K742" s="3"/>
    </row>
    <row r="743" s="1" customFormat="1" spans="4:11">
      <c r="D743" s="2"/>
      <c r="E743" s="3"/>
      <c r="F743" s="3"/>
      <c r="G743" s="3"/>
      <c r="H743" s="3"/>
      <c r="I743" s="3"/>
      <c r="J743" s="3"/>
      <c r="K743" s="3"/>
    </row>
    <row r="744" s="1" customFormat="1" spans="4:11">
      <c r="D744" s="2"/>
      <c r="E744" s="3"/>
      <c r="F744" s="3"/>
      <c r="G744" s="3"/>
      <c r="H744" s="3"/>
      <c r="I744" s="3"/>
      <c r="J744" s="3"/>
      <c r="K744" s="3"/>
    </row>
    <row r="745" s="1" customFormat="1" spans="4:11">
      <c r="D745" s="2"/>
      <c r="E745" s="3"/>
      <c r="F745" s="3"/>
      <c r="G745" s="3"/>
      <c r="H745" s="3"/>
      <c r="I745" s="3"/>
      <c r="J745" s="3"/>
      <c r="K745" s="3"/>
    </row>
    <row r="746" s="1" customFormat="1" spans="4:11">
      <c r="D746" s="2"/>
      <c r="E746" s="3"/>
      <c r="F746" s="3"/>
      <c r="G746" s="3"/>
      <c r="H746" s="3"/>
      <c r="I746" s="3"/>
      <c r="J746" s="3"/>
      <c r="K746" s="3"/>
    </row>
    <row r="747" s="1" customFormat="1" spans="4:11">
      <c r="D747" s="2"/>
      <c r="E747" s="3"/>
      <c r="F747" s="3"/>
      <c r="G747" s="3"/>
      <c r="H747" s="3"/>
      <c r="I747" s="3"/>
      <c r="J747" s="3"/>
      <c r="K747" s="3"/>
    </row>
    <row r="748" s="1" customFormat="1" spans="4:11">
      <c r="D748" s="2"/>
      <c r="E748" s="3"/>
      <c r="F748" s="3"/>
      <c r="G748" s="3"/>
      <c r="H748" s="3"/>
      <c r="I748" s="3"/>
      <c r="J748" s="3"/>
      <c r="K748" s="3"/>
    </row>
    <row r="749" s="1" customFormat="1" spans="4:11">
      <c r="D749" s="2"/>
      <c r="E749" s="3"/>
      <c r="F749" s="3"/>
      <c r="G749" s="3"/>
      <c r="H749" s="3"/>
      <c r="I749" s="3"/>
      <c r="J749" s="3"/>
      <c r="K749" s="3"/>
    </row>
    <row r="750" s="1" customFormat="1" spans="4:11">
      <c r="D750" s="2"/>
      <c r="E750" s="3"/>
      <c r="F750" s="3"/>
      <c r="G750" s="3"/>
      <c r="H750" s="3"/>
      <c r="I750" s="3"/>
      <c r="J750" s="3"/>
      <c r="K750" s="3"/>
    </row>
    <row r="751" s="1" customFormat="1" spans="4:11">
      <c r="D751" s="2"/>
      <c r="E751" s="3"/>
      <c r="F751" s="3"/>
      <c r="G751" s="3"/>
      <c r="H751" s="3"/>
      <c r="I751" s="3"/>
      <c r="J751" s="3"/>
      <c r="K751" s="3"/>
    </row>
    <row r="752" s="1" customFormat="1" spans="4:11">
      <c r="D752" s="2"/>
      <c r="E752" s="3"/>
      <c r="F752" s="3"/>
      <c r="G752" s="3"/>
      <c r="H752" s="3"/>
      <c r="I752" s="3"/>
      <c r="J752" s="3"/>
      <c r="K752" s="3"/>
    </row>
    <row r="753" s="1" customFormat="1" spans="4:11">
      <c r="D753" s="2"/>
      <c r="E753" s="3"/>
      <c r="F753" s="3"/>
      <c r="G753" s="3"/>
      <c r="H753" s="3"/>
      <c r="I753" s="3"/>
      <c r="J753" s="3"/>
      <c r="K753" s="3"/>
    </row>
    <row r="754" s="1" customFormat="1" spans="4:11">
      <c r="D754" s="2"/>
      <c r="E754" s="3"/>
      <c r="F754" s="3"/>
      <c r="G754" s="3"/>
      <c r="H754" s="3"/>
      <c r="I754" s="3"/>
      <c r="J754" s="3"/>
      <c r="K754" s="3"/>
    </row>
    <row r="755" s="1" customFormat="1" spans="4:11">
      <c r="D755" s="2"/>
      <c r="E755" s="3"/>
      <c r="F755" s="3"/>
      <c r="G755" s="3"/>
      <c r="H755" s="3"/>
      <c r="I755" s="3"/>
      <c r="J755" s="3"/>
      <c r="K755" s="3"/>
    </row>
    <row r="756" s="1" customFormat="1" spans="4:11">
      <c r="D756" s="2"/>
      <c r="E756" s="3"/>
      <c r="F756" s="3"/>
      <c r="G756" s="3"/>
      <c r="H756" s="3"/>
      <c r="I756" s="3"/>
      <c r="J756" s="3"/>
      <c r="K756" s="3"/>
    </row>
    <row r="757" s="1" customFormat="1" spans="4:11">
      <c r="D757" s="2"/>
      <c r="E757" s="3"/>
      <c r="F757" s="3"/>
      <c r="G757" s="3"/>
      <c r="H757" s="3"/>
      <c r="I757" s="3"/>
      <c r="J757" s="3"/>
      <c r="K757" s="3"/>
    </row>
    <row r="758" s="1" customFormat="1" spans="4:11">
      <c r="D758" s="2"/>
      <c r="E758" s="3"/>
      <c r="F758" s="3"/>
      <c r="G758" s="3"/>
      <c r="H758" s="3"/>
      <c r="I758" s="3"/>
      <c r="J758" s="3"/>
      <c r="K758" s="3"/>
    </row>
    <row r="759" s="1" customFormat="1" spans="4:11">
      <c r="D759" s="2"/>
      <c r="E759" s="3"/>
      <c r="F759" s="3"/>
      <c r="G759" s="3"/>
      <c r="H759" s="3"/>
      <c r="I759" s="3"/>
      <c r="J759" s="3"/>
      <c r="K759" s="3"/>
    </row>
    <row r="760" s="1" customFormat="1" spans="4:11">
      <c r="D760" s="2"/>
      <c r="E760" s="3"/>
      <c r="F760" s="3"/>
      <c r="G760" s="3"/>
      <c r="H760" s="3"/>
      <c r="I760" s="3"/>
      <c r="J760" s="3"/>
      <c r="K760" s="3"/>
    </row>
    <row r="761" s="1" customFormat="1" spans="4:11">
      <c r="D761" s="2"/>
      <c r="E761" s="3"/>
      <c r="F761" s="3"/>
      <c r="G761" s="3"/>
      <c r="H761" s="3"/>
      <c r="I761" s="3"/>
      <c r="J761" s="3"/>
      <c r="K761" s="3"/>
    </row>
    <row r="762" s="1" customFormat="1" spans="4:11">
      <c r="D762" s="2"/>
      <c r="E762" s="3"/>
      <c r="F762" s="3"/>
      <c r="G762" s="3"/>
      <c r="H762" s="3"/>
      <c r="I762" s="3"/>
      <c r="J762" s="3"/>
      <c r="K762" s="3"/>
    </row>
    <row r="763" s="1" customFormat="1" spans="4:11">
      <c r="D763" s="2"/>
      <c r="E763" s="3"/>
      <c r="F763" s="3"/>
      <c r="G763" s="3"/>
      <c r="H763" s="3"/>
      <c r="I763" s="3"/>
      <c r="J763" s="3"/>
      <c r="K763" s="3"/>
    </row>
    <row r="764" s="1" customFormat="1" spans="4:11">
      <c r="D764" s="2"/>
      <c r="E764" s="3"/>
      <c r="F764" s="3"/>
      <c r="G764" s="3"/>
      <c r="H764" s="3"/>
      <c r="I764" s="3"/>
      <c r="J764" s="3"/>
      <c r="K764" s="3"/>
    </row>
    <row r="765" s="1" customFormat="1" spans="4:11">
      <c r="D765" s="2"/>
      <c r="E765" s="3"/>
      <c r="F765" s="3"/>
      <c r="G765" s="3"/>
      <c r="H765" s="3"/>
      <c r="I765" s="3"/>
      <c r="J765" s="3"/>
      <c r="K765" s="3"/>
    </row>
    <row r="766" s="1" customFormat="1" spans="4:11">
      <c r="D766" s="2"/>
      <c r="E766" s="3"/>
      <c r="F766" s="3"/>
      <c r="G766" s="3"/>
      <c r="H766" s="3"/>
      <c r="I766" s="3"/>
      <c r="J766" s="3"/>
      <c r="K766" s="3"/>
    </row>
    <row r="767" s="1" customFormat="1" spans="4:11">
      <c r="D767" s="2"/>
      <c r="E767" s="3"/>
      <c r="F767" s="3"/>
      <c r="G767" s="3"/>
      <c r="H767" s="3"/>
      <c r="I767" s="3"/>
      <c r="J767" s="3"/>
      <c r="K767" s="3"/>
    </row>
    <row r="768" s="1" customFormat="1" spans="4:11">
      <c r="D768" s="2"/>
      <c r="E768" s="3"/>
      <c r="F768" s="3"/>
      <c r="G768" s="3"/>
      <c r="H768" s="3"/>
      <c r="I768" s="3"/>
      <c r="J768" s="3"/>
      <c r="K768" s="3"/>
    </row>
    <row r="769" s="1" customFormat="1" spans="4:11">
      <c r="D769" s="2"/>
      <c r="E769" s="3"/>
      <c r="F769" s="3"/>
      <c r="G769" s="3"/>
      <c r="H769" s="3"/>
      <c r="I769" s="3"/>
      <c r="J769" s="3"/>
      <c r="K769" s="3"/>
    </row>
    <row r="770" s="1" customFormat="1" spans="4:11">
      <c r="D770" s="2"/>
      <c r="E770" s="3"/>
      <c r="F770" s="3"/>
      <c r="G770" s="3"/>
      <c r="H770" s="3"/>
      <c r="I770" s="3"/>
      <c r="J770" s="3"/>
      <c r="K770" s="3"/>
    </row>
    <row r="771" s="1" customFormat="1" spans="4:11">
      <c r="D771" s="2"/>
      <c r="E771" s="3"/>
      <c r="F771" s="3"/>
      <c r="G771" s="3"/>
      <c r="H771" s="3"/>
      <c r="I771" s="3"/>
      <c r="J771" s="3"/>
      <c r="K771" s="3"/>
    </row>
    <row r="772" s="1" customFormat="1" spans="4:11">
      <c r="D772" s="2"/>
      <c r="E772" s="3"/>
      <c r="F772" s="3"/>
      <c r="G772" s="3"/>
      <c r="H772" s="3"/>
      <c r="I772" s="3"/>
      <c r="J772" s="3"/>
      <c r="K772" s="3"/>
    </row>
    <row r="773" s="1" customFormat="1" spans="4:11">
      <c r="D773" s="2"/>
      <c r="E773" s="3"/>
      <c r="F773" s="3"/>
      <c r="G773" s="3"/>
      <c r="H773" s="3"/>
      <c r="I773" s="3"/>
      <c r="J773" s="3"/>
      <c r="K773" s="3"/>
    </row>
    <row r="774" s="1" customFormat="1" spans="4:11">
      <c r="D774" s="2"/>
      <c r="E774" s="3"/>
      <c r="F774" s="3"/>
      <c r="G774" s="3"/>
      <c r="H774" s="3"/>
      <c r="I774" s="3"/>
      <c r="J774" s="3"/>
      <c r="K774" s="3"/>
    </row>
    <row r="775" s="1" customFormat="1" spans="4:11">
      <c r="D775" s="2"/>
      <c r="E775" s="3"/>
      <c r="F775" s="3"/>
      <c r="G775" s="3"/>
      <c r="H775" s="3"/>
      <c r="I775" s="3"/>
      <c r="J775" s="3"/>
      <c r="K775" s="3"/>
    </row>
    <row r="776" s="1" customFormat="1" spans="4:11">
      <c r="D776" s="2"/>
      <c r="E776" s="3"/>
      <c r="F776" s="3"/>
      <c r="G776" s="3"/>
      <c r="H776" s="3"/>
      <c r="I776" s="3"/>
      <c r="J776" s="3"/>
      <c r="K776" s="3"/>
    </row>
    <row r="777" s="1" customFormat="1" spans="4:11">
      <c r="D777" s="2"/>
      <c r="E777" s="3"/>
      <c r="F777" s="3"/>
      <c r="G777" s="3"/>
      <c r="H777" s="3"/>
      <c r="I777" s="3"/>
      <c r="J777" s="3"/>
      <c r="K777" s="3"/>
    </row>
    <row r="778" s="1" customFormat="1" spans="4:11">
      <c r="D778" s="2"/>
      <c r="E778" s="3"/>
      <c r="F778" s="3"/>
      <c r="G778" s="3"/>
      <c r="H778" s="3"/>
      <c r="I778" s="3"/>
      <c r="J778" s="3"/>
      <c r="K778" s="3"/>
    </row>
    <row r="779" s="1" customFormat="1" spans="4:11">
      <c r="D779" s="2"/>
      <c r="E779" s="3"/>
      <c r="F779" s="3"/>
      <c r="G779" s="3"/>
      <c r="H779" s="3"/>
      <c r="I779" s="3"/>
      <c r="J779" s="3"/>
      <c r="K779" s="3"/>
    </row>
    <row r="780" s="1" customFormat="1" spans="4:11">
      <c r="D780" s="2"/>
      <c r="E780" s="3"/>
      <c r="F780" s="3"/>
      <c r="G780" s="3"/>
      <c r="H780" s="3"/>
      <c r="I780" s="3"/>
      <c r="J780" s="3"/>
      <c r="K780" s="3"/>
    </row>
    <row r="781" s="1" customFormat="1" spans="4:11">
      <c r="D781" s="2"/>
      <c r="E781" s="3"/>
      <c r="F781" s="3"/>
      <c r="G781" s="3"/>
      <c r="H781" s="3"/>
      <c r="I781" s="3"/>
      <c r="J781" s="3"/>
      <c r="K781" s="3"/>
    </row>
    <row r="782" s="1" customFormat="1" spans="4:11">
      <c r="D782" s="2"/>
      <c r="E782" s="3"/>
      <c r="F782" s="3"/>
      <c r="G782" s="3"/>
      <c r="H782" s="3"/>
      <c r="I782" s="3"/>
      <c r="J782" s="3"/>
      <c r="K782" s="3"/>
    </row>
    <row r="783" s="1" customFormat="1" spans="4:11">
      <c r="D783" s="2"/>
      <c r="E783" s="3"/>
      <c r="F783" s="3"/>
      <c r="G783" s="3"/>
      <c r="H783" s="3"/>
      <c r="I783" s="3"/>
      <c r="J783" s="3"/>
      <c r="K783" s="3"/>
    </row>
    <row r="784" s="1" customFormat="1" spans="4:11">
      <c r="D784" s="2"/>
      <c r="E784" s="3"/>
      <c r="F784" s="3"/>
      <c r="G784" s="3"/>
      <c r="H784" s="3"/>
      <c r="I784" s="3"/>
      <c r="J784" s="3"/>
      <c r="K784" s="3"/>
    </row>
    <row r="785" s="1" customFormat="1" spans="4:11">
      <c r="D785" s="2"/>
      <c r="E785" s="3"/>
      <c r="F785" s="3"/>
      <c r="G785" s="3"/>
      <c r="H785" s="3"/>
      <c r="I785" s="3"/>
      <c r="J785" s="3"/>
      <c r="K785" s="3"/>
    </row>
    <row r="786" s="1" customFormat="1" spans="4:11">
      <c r="D786" s="2"/>
      <c r="E786" s="3"/>
      <c r="F786" s="3"/>
      <c r="G786" s="3"/>
      <c r="H786" s="3"/>
      <c r="I786" s="3"/>
      <c r="J786" s="3"/>
      <c r="K786" s="3"/>
    </row>
    <row r="787" s="1" customFormat="1" spans="4:11">
      <c r="D787" s="2"/>
      <c r="E787" s="3"/>
      <c r="F787" s="3"/>
      <c r="G787" s="3"/>
      <c r="H787" s="3"/>
      <c r="I787" s="3"/>
      <c r="J787" s="3"/>
      <c r="K787" s="3"/>
    </row>
    <row r="788" s="1" customFormat="1" spans="4:11">
      <c r="D788" s="2"/>
      <c r="E788" s="3"/>
      <c r="F788" s="3"/>
      <c r="G788" s="3"/>
      <c r="H788" s="3"/>
      <c r="I788" s="3"/>
      <c r="J788" s="3"/>
      <c r="K788" s="3"/>
    </row>
    <row r="789" s="1" customFormat="1" spans="4:11">
      <c r="D789" s="2"/>
      <c r="E789" s="3"/>
      <c r="F789" s="3"/>
      <c r="G789" s="3"/>
      <c r="H789" s="3"/>
      <c r="I789" s="3"/>
      <c r="J789" s="3"/>
      <c r="K789" s="3"/>
    </row>
    <row r="790" s="1" customFormat="1" spans="4:11">
      <c r="D790" s="2"/>
      <c r="E790" s="3"/>
      <c r="F790" s="3"/>
      <c r="G790" s="3"/>
      <c r="H790" s="3"/>
      <c r="I790" s="3"/>
      <c r="J790" s="3"/>
      <c r="K790" s="3"/>
    </row>
    <row r="791" s="1" customFormat="1" spans="4:11">
      <c r="D791" s="2"/>
      <c r="E791" s="3"/>
      <c r="F791" s="3"/>
      <c r="G791" s="3"/>
      <c r="H791" s="3"/>
      <c r="I791" s="3"/>
      <c r="J791" s="3"/>
      <c r="K791" s="3"/>
    </row>
    <row r="792" s="1" customFormat="1" spans="4:11">
      <c r="D792" s="2"/>
      <c r="E792" s="3"/>
      <c r="F792" s="3"/>
      <c r="G792" s="3"/>
      <c r="H792" s="3"/>
      <c r="I792" s="3"/>
      <c r="J792" s="3"/>
      <c r="K792" s="3"/>
    </row>
    <row r="793" s="1" customFormat="1" spans="4:11">
      <c r="D793" s="2"/>
      <c r="E793" s="3"/>
      <c r="F793" s="3"/>
      <c r="G793" s="3"/>
      <c r="H793" s="3"/>
      <c r="I793" s="3"/>
      <c r="J793" s="3"/>
      <c r="K793" s="3"/>
    </row>
    <row r="794" s="1" customFormat="1" spans="4:11">
      <c r="D794" s="2"/>
      <c r="E794" s="3"/>
      <c r="F794" s="3"/>
      <c r="G794" s="3"/>
      <c r="H794" s="3"/>
      <c r="I794" s="3"/>
      <c r="J794" s="3"/>
      <c r="K794" s="3"/>
    </row>
    <row r="795" s="1" customFormat="1" spans="4:11">
      <c r="D795" s="2"/>
      <c r="E795" s="3"/>
      <c r="F795" s="3"/>
      <c r="G795" s="3"/>
      <c r="H795" s="3"/>
      <c r="I795" s="3"/>
      <c r="J795" s="3"/>
      <c r="K795" s="3"/>
    </row>
    <row r="796" s="1" customFormat="1" spans="4:11">
      <c r="D796" s="2"/>
      <c r="E796" s="3"/>
      <c r="F796" s="3"/>
      <c r="G796" s="3"/>
      <c r="H796" s="3"/>
      <c r="I796" s="3"/>
      <c r="J796" s="3"/>
      <c r="K796" s="3"/>
    </row>
    <row r="797" s="1" customFormat="1" spans="4:11">
      <c r="D797" s="2"/>
      <c r="E797" s="3"/>
      <c r="F797" s="3"/>
      <c r="G797" s="3"/>
      <c r="H797" s="3"/>
      <c r="I797" s="3"/>
      <c r="J797" s="3"/>
      <c r="K797" s="3"/>
    </row>
    <row r="798" s="1" customFormat="1" spans="4:11">
      <c r="D798" s="2"/>
      <c r="E798" s="3"/>
      <c r="F798" s="3"/>
      <c r="G798" s="3"/>
      <c r="H798" s="3"/>
      <c r="I798" s="3"/>
      <c r="J798" s="3"/>
      <c r="K798" s="3"/>
    </row>
    <row r="799" s="1" customFormat="1" spans="4:11">
      <c r="D799" s="2"/>
      <c r="E799" s="3"/>
      <c r="F799" s="3"/>
      <c r="G799" s="3"/>
      <c r="H799" s="3"/>
      <c r="I799" s="3"/>
      <c r="J799" s="3"/>
      <c r="K799" s="3"/>
    </row>
    <row r="800" s="1" customFormat="1" spans="4:11">
      <c r="D800" s="2"/>
      <c r="E800" s="3"/>
      <c r="F800" s="3"/>
      <c r="G800" s="3"/>
      <c r="H800" s="3"/>
      <c r="I800" s="3"/>
      <c r="J800" s="3"/>
      <c r="K800" s="3"/>
    </row>
    <row r="801" s="1" customFormat="1" spans="4:11">
      <c r="D801" s="2"/>
      <c r="E801" s="3"/>
      <c r="F801" s="3"/>
      <c r="G801" s="3"/>
      <c r="H801" s="3"/>
      <c r="I801" s="3"/>
      <c r="J801" s="3"/>
      <c r="K801" s="3"/>
    </row>
    <row r="802" s="1" customFormat="1" spans="4:11">
      <c r="D802" s="2"/>
      <c r="E802" s="3"/>
      <c r="F802" s="3"/>
      <c r="G802" s="3"/>
      <c r="H802" s="3"/>
      <c r="I802" s="3"/>
      <c r="J802" s="3"/>
      <c r="K802" s="3"/>
    </row>
    <row r="803" s="1" customFormat="1" spans="4:11">
      <c r="D803" s="2"/>
      <c r="E803" s="3"/>
      <c r="F803" s="3"/>
      <c r="G803" s="3"/>
      <c r="H803" s="3"/>
      <c r="I803" s="3"/>
      <c r="J803" s="3"/>
      <c r="K803" s="3"/>
    </row>
    <row r="804" s="1" customFormat="1" spans="4:11">
      <c r="D804" s="2"/>
      <c r="E804" s="3"/>
      <c r="F804" s="3"/>
      <c r="G804" s="3"/>
      <c r="H804" s="3"/>
      <c r="I804" s="3"/>
      <c r="J804" s="3"/>
      <c r="K804" s="3"/>
    </row>
    <row r="805" s="1" customFormat="1" spans="4:11">
      <c r="D805" s="2"/>
      <c r="E805" s="3"/>
      <c r="F805" s="3"/>
      <c r="G805" s="3"/>
      <c r="H805" s="3"/>
      <c r="I805" s="3"/>
      <c r="J805" s="3"/>
      <c r="K805" s="3"/>
    </row>
    <row r="806" s="1" customFormat="1" spans="4:11">
      <c r="D806" s="2"/>
      <c r="E806" s="3"/>
      <c r="F806" s="3"/>
      <c r="G806" s="3"/>
      <c r="H806" s="3"/>
      <c r="I806" s="3"/>
      <c r="J806" s="3"/>
      <c r="K806" s="3"/>
    </row>
    <row r="807" s="1" customFormat="1" spans="4:11">
      <c r="D807" s="2"/>
      <c r="E807" s="3"/>
      <c r="F807" s="3"/>
      <c r="G807" s="3"/>
      <c r="H807" s="3"/>
      <c r="I807" s="3"/>
      <c r="J807" s="3"/>
      <c r="K807" s="3"/>
    </row>
    <row r="808" s="1" customFormat="1" spans="4:11">
      <c r="D808" s="2"/>
      <c r="E808" s="3"/>
      <c r="F808" s="3"/>
      <c r="G808" s="3"/>
      <c r="H808" s="3"/>
      <c r="I808" s="3"/>
      <c r="J808" s="3"/>
      <c r="K808" s="3"/>
    </row>
    <row r="809" s="1" customFormat="1" spans="4:11">
      <c r="D809" s="2"/>
      <c r="E809" s="3"/>
      <c r="F809" s="3"/>
      <c r="G809" s="3"/>
      <c r="H809" s="3"/>
      <c r="I809" s="3"/>
      <c r="J809" s="3"/>
      <c r="K809" s="3"/>
    </row>
    <row r="810" s="1" customFormat="1" spans="4:11">
      <c r="D810" s="2"/>
      <c r="E810" s="3"/>
      <c r="F810" s="3"/>
      <c r="G810" s="3"/>
      <c r="H810" s="3"/>
      <c r="I810" s="3"/>
      <c r="J810" s="3"/>
      <c r="K810" s="3"/>
    </row>
    <row r="811" s="1" customFormat="1" spans="4:11">
      <c r="D811" s="2"/>
      <c r="E811" s="3"/>
      <c r="F811" s="3"/>
      <c r="G811" s="3"/>
      <c r="H811" s="3"/>
      <c r="I811" s="3"/>
      <c r="J811" s="3"/>
      <c r="K811" s="3"/>
    </row>
    <row r="812" s="1" customFormat="1" spans="4:11">
      <c r="D812" s="2"/>
      <c r="E812" s="3"/>
      <c r="F812" s="3"/>
      <c r="G812" s="3"/>
      <c r="H812" s="3"/>
      <c r="I812" s="3"/>
      <c r="J812" s="3"/>
      <c r="K812" s="3"/>
    </row>
    <row r="813" s="1" customFormat="1" spans="4:11">
      <c r="D813" s="2"/>
      <c r="E813" s="3"/>
      <c r="F813" s="3"/>
      <c r="G813" s="3"/>
      <c r="H813" s="3"/>
      <c r="I813" s="3"/>
      <c r="J813" s="3"/>
      <c r="K813" s="3"/>
    </row>
    <row r="814" s="1" customFormat="1" spans="4:11">
      <c r="D814" s="2"/>
      <c r="E814" s="3"/>
      <c r="F814" s="3"/>
      <c r="G814" s="3"/>
      <c r="H814" s="3"/>
      <c r="I814" s="3"/>
      <c r="J814" s="3"/>
      <c r="K814" s="3"/>
    </row>
    <row r="815" s="1" customFormat="1" spans="4:11">
      <c r="D815" s="2"/>
      <c r="E815" s="3"/>
      <c r="F815" s="3"/>
      <c r="G815" s="3"/>
      <c r="H815" s="3"/>
      <c r="I815" s="3"/>
      <c r="J815" s="3"/>
      <c r="K815" s="3"/>
    </row>
    <row r="816" s="1" customFormat="1" spans="4:11">
      <c r="D816" s="2"/>
      <c r="E816" s="3"/>
      <c r="F816" s="3"/>
      <c r="G816" s="3"/>
      <c r="H816" s="3"/>
      <c r="I816" s="3"/>
      <c r="J816" s="3"/>
      <c r="K816" s="3"/>
    </row>
    <row r="817" s="1" customFormat="1" spans="4:11">
      <c r="D817" s="2"/>
      <c r="E817" s="3"/>
      <c r="F817" s="3"/>
      <c r="G817" s="3"/>
      <c r="H817" s="3"/>
      <c r="I817" s="3"/>
      <c r="J817" s="3"/>
      <c r="K817" s="3"/>
    </row>
    <row r="818" s="1" customFormat="1" spans="4:11">
      <c r="D818" s="2"/>
      <c r="E818" s="3"/>
      <c r="F818" s="3"/>
      <c r="G818" s="3"/>
      <c r="H818" s="3"/>
      <c r="I818" s="3"/>
      <c r="J818" s="3"/>
      <c r="K818" s="3"/>
    </row>
    <row r="819" s="1" customFormat="1" spans="4:11">
      <c r="D819" s="2"/>
      <c r="E819" s="3"/>
      <c r="F819" s="3"/>
      <c r="G819" s="3"/>
      <c r="H819" s="3"/>
      <c r="I819" s="3"/>
      <c r="J819" s="3"/>
      <c r="K819" s="3"/>
    </row>
    <row r="820" s="1" customFormat="1" spans="4:11">
      <c r="D820" s="2"/>
      <c r="E820" s="3"/>
      <c r="F820" s="3"/>
      <c r="G820" s="3"/>
      <c r="H820" s="3"/>
      <c r="I820" s="3"/>
      <c r="J820" s="3"/>
      <c r="K820" s="3"/>
    </row>
    <row r="821" s="1" customFormat="1" spans="4:11">
      <c r="D821" s="2"/>
      <c r="E821" s="3"/>
      <c r="F821" s="3"/>
      <c r="G821" s="3"/>
      <c r="H821" s="3"/>
      <c r="I821" s="3"/>
      <c r="J821" s="3"/>
      <c r="K821" s="3"/>
    </row>
    <row r="822" s="1" customFormat="1" spans="4:11">
      <c r="D822" s="2"/>
      <c r="E822" s="3"/>
      <c r="F822" s="3"/>
      <c r="G822" s="3"/>
      <c r="H822" s="3"/>
      <c r="I822" s="3"/>
      <c r="J822" s="3"/>
      <c r="K822" s="3"/>
    </row>
    <row r="823" s="1" customFormat="1" spans="4:11">
      <c r="D823" s="2"/>
      <c r="E823" s="3"/>
      <c r="F823" s="3"/>
      <c r="G823" s="3"/>
      <c r="H823" s="3"/>
      <c r="I823" s="3"/>
      <c r="J823" s="3"/>
      <c r="K823" s="3"/>
    </row>
    <row r="824" s="1" customFormat="1" spans="4:11">
      <c r="D824" s="2"/>
      <c r="E824" s="3"/>
      <c r="F824" s="3"/>
      <c r="G824" s="3"/>
      <c r="H824" s="3"/>
      <c r="I824" s="3"/>
      <c r="J824" s="3"/>
      <c r="K824" s="3"/>
    </row>
    <row r="825" s="1" customFormat="1" spans="4:11">
      <c r="D825" s="2"/>
      <c r="E825" s="3"/>
      <c r="F825" s="3"/>
      <c r="G825" s="3"/>
      <c r="H825" s="3"/>
      <c r="I825" s="3"/>
      <c r="J825" s="3"/>
      <c r="K825" s="3"/>
    </row>
    <row r="826" s="1" customFormat="1" spans="4:11">
      <c r="D826" s="2"/>
      <c r="E826" s="3"/>
      <c r="F826" s="3"/>
      <c r="G826" s="3"/>
      <c r="H826" s="3"/>
      <c r="I826" s="3"/>
      <c r="J826" s="3"/>
      <c r="K826" s="3"/>
    </row>
    <row r="827" s="1" customFormat="1" spans="4:11">
      <c r="D827" s="2"/>
      <c r="E827" s="3"/>
      <c r="F827" s="3"/>
      <c r="G827" s="3"/>
      <c r="H827" s="3"/>
      <c r="I827" s="3"/>
      <c r="J827" s="3"/>
      <c r="K827" s="3"/>
    </row>
    <row r="828" s="1" customFormat="1" spans="4:11">
      <c r="D828" s="2"/>
      <c r="E828" s="3"/>
      <c r="F828" s="3"/>
      <c r="G828" s="3"/>
      <c r="H828" s="3"/>
      <c r="I828" s="3"/>
      <c r="J828" s="3"/>
      <c r="K828" s="3"/>
    </row>
    <row r="829" s="1" customFormat="1" spans="4:11">
      <c r="D829" s="2"/>
      <c r="E829" s="3"/>
      <c r="F829" s="3"/>
      <c r="G829" s="3"/>
      <c r="H829" s="3"/>
      <c r="I829" s="3"/>
      <c r="J829" s="3"/>
      <c r="K829" s="3"/>
    </row>
    <row r="830" s="1" customFormat="1" spans="4:11">
      <c r="D830" s="2"/>
      <c r="E830" s="3"/>
      <c r="F830" s="3"/>
      <c r="G830" s="3"/>
      <c r="H830" s="3"/>
      <c r="I830" s="3"/>
      <c r="J830" s="3"/>
      <c r="K830" s="3"/>
    </row>
    <row r="831" s="1" customFormat="1" spans="4:11">
      <c r="D831" s="2"/>
      <c r="E831" s="3"/>
      <c r="F831" s="3"/>
      <c r="G831" s="3"/>
      <c r="H831" s="3"/>
      <c r="I831" s="3"/>
      <c r="J831" s="3"/>
      <c r="K831" s="3"/>
    </row>
    <row r="832" s="1" customFormat="1" spans="4:11">
      <c r="D832" s="2"/>
      <c r="E832" s="3"/>
      <c r="F832" s="3"/>
      <c r="G832" s="3"/>
      <c r="H832" s="3"/>
      <c r="I832" s="3"/>
      <c r="J832" s="3"/>
      <c r="K832" s="3"/>
    </row>
    <row r="833" s="1" customFormat="1" spans="4:11">
      <c r="D833" s="2"/>
      <c r="E833" s="3"/>
      <c r="F833" s="3"/>
      <c r="G833" s="3"/>
      <c r="H833" s="3"/>
      <c r="I833" s="3"/>
      <c r="J833" s="3"/>
      <c r="K833" s="3"/>
    </row>
    <row r="834" s="1" customFormat="1" spans="4:11">
      <c r="D834" s="2"/>
      <c r="E834" s="3"/>
      <c r="F834" s="3"/>
      <c r="G834" s="3"/>
      <c r="H834" s="3"/>
      <c r="I834" s="3"/>
      <c r="J834" s="3"/>
      <c r="K834" s="3"/>
    </row>
    <row r="835" s="1" customFormat="1" spans="4:11">
      <c r="D835" s="2"/>
      <c r="E835" s="3"/>
      <c r="F835" s="3"/>
      <c r="G835" s="3"/>
      <c r="H835" s="3"/>
      <c r="I835" s="3"/>
      <c r="J835" s="3"/>
      <c r="K835" s="3"/>
    </row>
    <row r="836" s="1" customFormat="1" spans="4:11">
      <c r="D836" s="2"/>
      <c r="E836" s="3"/>
      <c r="F836" s="3"/>
      <c r="G836" s="3"/>
      <c r="H836" s="3"/>
      <c r="I836" s="3"/>
      <c r="J836" s="3"/>
      <c r="K836" s="3"/>
    </row>
    <row r="837" s="1" customFormat="1" spans="4:11">
      <c r="D837" s="2"/>
      <c r="E837" s="3"/>
      <c r="F837" s="3"/>
      <c r="G837" s="3"/>
      <c r="H837" s="3"/>
      <c r="I837" s="3"/>
      <c r="J837" s="3"/>
      <c r="K837" s="3"/>
    </row>
    <row r="838" s="1" customFormat="1" spans="4:11">
      <c r="D838" s="2"/>
      <c r="E838" s="3"/>
      <c r="F838" s="3"/>
      <c r="G838" s="3"/>
      <c r="H838" s="3"/>
      <c r="I838" s="3"/>
      <c r="J838" s="3"/>
      <c r="K838" s="3"/>
    </row>
    <row r="839" s="1" customFormat="1" spans="4:11">
      <c r="D839" s="2"/>
      <c r="E839" s="3"/>
      <c r="F839" s="3"/>
      <c r="G839" s="3"/>
      <c r="H839" s="3"/>
      <c r="I839" s="3"/>
      <c r="J839" s="3"/>
      <c r="K839" s="3"/>
    </row>
    <row r="840" s="1" customFormat="1" spans="4:11">
      <c r="D840" s="2"/>
      <c r="E840" s="3"/>
      <c r="F840" s="3"/>
      <c r="G840" s="3"/>
      <c r="H840" s="3"/>
      <c r="I840" s="3"/>
      <c r="J840" s="3"/>
      <c r="K840" s="3"/>
    </row>
    <row r="841" s="1" customFormat="1" spans="4:11">
      <c r="D841" s="2"/>
      <c r="E841" s="3"/>
      <c r="F841" s="3"/>
      <c r="G841" s="3"/>
      <c r="H841" s="3"/>
      <c r="I841" s="3"/>
      <c r="J841" s="3"/>
      <c r="K841" s="3"/>
    </row>
    <row r="842" s="1" customFormat="1" spans="4:11">
      <c r="D842" s="2"/>
      <c r="E842" s="3"/>
      <c r="F842" s="3"/>
      <c r="G842" s="3"/>
      <c r="H842" s="3"/>
      <c r="I842" s="3"/>
      <c r="J842" s="3"/>
      <c r="K842" s="3"/>
    </row>
    <row r="843" s="1" customFormat="1" spans="4:11">
      <c r="D843" s="2"/>
      <c r="E843" s="3"/>
      <c r="F843" s="3"/>
      <c r="G843" s="3"/>
      <c r="H843" s="3"/>
      <c r="I843" s="3"/>
      <c r="J843" s="3"/>
      <c r="K843" s="3"/>
    </row>
    <row r="844" s="1" customFormat="1" spans="4:11">
      <c r="D844" s="2"/>
      <c r="E844" s="3"/>
      <c r="F844" s="3"/>
      <c r="G844" s="3"/>
      <c r="H844" s="3"/>
      <c r="I844" s="3"/>
      <c r="J844" s="3"/>
      <c r="K844" s="3"/>
    </row>
    <row r="845" s="1" customFormat="1" spans="4:11">
      <c r="D845" s="2"/>
      <c r="E845" s="3"/>
      <c r="F845" s="3"/>
      <c r="G845" s="3"/>
      <c r="H845" s="3"/>
      <c r="I845" s="3"/>
      <c r="J845" s="3"/>
      <c r="K845" s="3"/>
    </row>
    <row r="846" s="1" customFormat="1" spans="4:11">
      <c r="D846" s="2"/>
      <c r="E846" s="3"/>
      <c r="F846" s="3"/>
      <c r="G846" s="3"/>
      <c r="H846" s="3"/>
      <c r="I846" s="3"/>
      <c r="J846" s="3"/>
      <c r="K846" s="3"/>
    </row>
    <row r="847" s="1" customFormat="1" spans="4:11">
      <c r="D847" s="2"/>
      <c r="E847" s="3"/>
      <c r="F847" s="3"/>
      <c r="G847" s="3"/>
      <c r="H847" s="3"/>
      <c r="I847" s="3"/>
      <c r="J847" s="3"/>
      <c r="K847" s="3"/>
    </row>
    <row r="848" s="1" customFormat="1" spans="4:11">
      <c r="D848" s="2"/>
      <c r="E848" s="3"/>
      <c r="F848" s="3"/>
      <c r="G848" s="3"/>
      <c r="H848" s="3"/>
      <c r="I848" s="3"/>
      <c r="J848" s="3"/>
      <c r="K848" s="3"/>
    </row>
    <row r="849" s="1" customFormat="1" spans="4:11">
      <c r="D849" s="2"/>
      <c r="E849" s="3"/>
      <c r="F849" s="3"/>
      <c r="G849" s="3"/>
      <c r="H849" s="3"/>
      <c r="I849" s="3"/>
      <c r="J849" s="3"/>
      <c r="K849" s="3"/>
    </row>
    <row r="850" s="1" customFormat="1" spans="4:11">
      <c r="D850" s="2"/>
      <c r="E850" s="3"/>
      <c r="F850" s="3"/>
      <c r="G850" s="3"/>
      <c r="H850" s="3"/>
      <c r="I850" s="3"/>
      <c r="J850" s="3"/>
      <c r="K850" s="3"/>
    </row>
    <row r="851" s="1" customFormat="1" spans="4:11">
      <c r="D851" s="2"/>
      <c r="E851" s="3"/>
      <c r="F851" s="3"/>
      <c r="G851" s="3"/>
      <c r="H851" s="3"/>
      <c r="I851" s="3"/>
      <c r="J851" s="3"/>
      <c r="K851" s="3"/>
    </row>
    <row r="852" s="1" customFormat="1" spans="4:11">
      <c r="D852" s="2"/>
      <c r="E852" s="3"/>
      <c r="F852" s="3"/>
      <c r="G852" s="3"/>
      <c r="H852" s="3"/>
      <c r="I852" s="3"/>
      <c r="J852" s="3"/>
      <c r="K852" s="3"/>
    </row>
    <row r="853" s="1" customFormat="1" spans="4:11">
      <c r="D853" s="2"/>
      <c r="E853" s="3"/>
      <c r="F853" s="3"/>
      <c r="G853" s="3"/>
      <c r="H853" s="3"/>
      <c r="I853" s="3"/>
      <c r="J853" s="3"/>
      <c r="K853" s="3"/>
    </row>
    <row r="854" s="1" customFormat="1" spans="4:11">
      <c r="D854" s="2"/>
      <c r="E854" s="3"/>
      <c r="F854" s="3"/>
      <c r="G854" s="3"/>
      <c r="H854" s="3"/>
      <c r="I854" s="3"/>
      <c r="J854" s="3"/>
      <c r="K854" s="3"/>
    </row>
    <row r="855" s="1" customFormat="1" spans="4:11">
      <c r="D855" s="2"/>
      <c r="E855" s="3"/>
      <c r="F855" s="3"/>
      <c r="G855" s="3"/>
      <c r="H855" s="3"/>
      <c r="I855" s="3"/>
      <c r="J855" s="3"/>
      <c r="K855" s="3"/>
    </row>
    <row r="856" s="1" customFormat="1" spans="4:11">
      <c r="D856" s="2"/>
      <c r="E856" s="3"/>
      <c r="F856" s="3"/>
      <c r="G856" s="3"/>
      <c r="H856" s="3"/>
      <c r="I856" s="3"/>
      <c r="J856" s="3"/>
      <c r="K856" s="3"/>
    </row>
    <row r="857" s="1" customFormat="1" spans="4:11">
      <c r="D857" s="2"/>
      <c r="E857" s="3"/>
      <c r="F857" s="3"/>
      <c r="G857" s="3"/>
      <c r="H857" s="3"/>
      <c r="I857" s="3"/>
      <c r="J857" s="3"/>
      <c r="K857" s="3"/>
    </row>
    <row r="858" s="1" customFormat="1" spans="4:11">
      <c r="D858" s="2"/>
      <c r="E858" s="3"/>
      <c r="F858" s="3"/>
      <c r="G858" s="3"/>
      <c r="H858" s="3"/>
      <c r="I858" s="3"/>
      <c r="J858" s="3"/>
      <c r="K858" s="3"/>
    </row>
    <row r="859" s="1" customFormat="1" spans="4:11">
      <c r="D859" s="2"/>
      <c r="E859" s="3"/>
      <c r="F859" s="3"/>
      <c r="G859" s="3"/>
      <c r="H859" s="3"/>
      <c r="I859" s="3"/>
      <c r="J859" s="3"/>
      <c r="K859" s="3"/>
    </row>
    <row r="860" s="1" customFormat="1" spans="4:11">
      <c r="D860" s="2"/>
      <c r="E860" s="3"/>
      <c r="F860" s="3"/>
      <c r="G860" s="3"/>
      <c r="H860" s="3"/>
      <c r="I860" s="3"/>
      <c r="J860" s="3"/>
      <c r="K860" s="3"/>
    </row>
    <row r="861" s="1" customFormat="1" spans="4:11">
      <c r="D861" s="2"/>
      <c r="E861" s="3"/>
      <c r="F861" s="3"/>
      <c r="G861" s="3"/>
      <c r="H861" s="3"/>
      <c r="I861" s="3"/>
      <c r="J861" s="3"/>
      <c r="K861" s="3"/>
    </row>
    <row r="862" s="1" customFormat="1" spans="4:11">
      <c r="D862" s="2"/>
      <c r="E862" s="3"/>
      <c r="F862" s="3"/>
      <c r="G862" s="3"/>
      <c r="H862" s="3"/>
      <c r="I862" s="3"/>
      <c r="J862" s="3"/>
      <c r="K862" s="3"/>
    </row>
    <row r="863" s="1" customFormat="1" spans="4:11">
      <c r="D863" s="2"/>
      <c r="E863" s="3"/>
      <c r="F863" s="3"/>
      <c r="G863" s="3"/>
      <c r="H863" s="3"/>
      <c r="I863" s="3"/>
      <c r="J863" s="3"/>
      <c r="K863" s="3"/>
    </row>
    <row r="864" s="1" customFormat="1" spans="4:11">
      <c r="D864" s="2"/>
      <c r="E864" s="3"/>
      <c r="F864" s="3"/>
      <c r="G864" s="3"/>
      <c r="H864" s="3"/>
      <c r="I864" s="3"/>
      <c r="J864" s="3"/>
      <c r="K864" s="3"/>
    </row>
    <row r="865" s="1" customFormat="1" spans="4:11">
      <c r="D865" s="2"/>
      <c r="E865" s="3"/>
      <c r="F865" s="3"/>
      <c r="G865" s="3"/>
      <c r="H865" s="3"/>
      <c r="I865" s="3"/>
      <c r="J865" s="3"/>
      <c r="K865" s="3"/>
    </row>
    <row r="866" s="1" customFormat="1" spans="4:11">
      <c r="D866" s="2"/>
      <c r="E866" s="3"/>
      <c r="F866" s="3"/>
      <c r="G866" s="3"/>
      <c r="H866" s="3"/>
      <c r="I866" s="3"/>
      <c r="J866" s="3"/>
      <c r="K866" s="3"/>
    </row>
    <row r="867" s="1" customFormat="1" spans="4:11">
      <c r="D867" s="2"/>
      <c r="E867" s="3"/>
      <c r="F867" s="3"/>
      <c r="G867" s="3"/>
      <c r="H867" s="3"/>
      <c r="I867" s="3"/>
      <c r="J867" s="3"/>
      <c r="K867" s="3"/>
    </row>
    <row r="868" s="1" customFormat="1" spans="4:11">
      <c r="D868" s="2"/>
      <c r="E868" s="3"/>
      <c r="F868" s="3"/>
      <c r="G868" s="3"/>
      <c r="H868" s="3"/>
      <c r="I868" s="3"/>
      <c r="J868" s="3"/>
      <c r="K868" s="3"/>
    </row>
    <row r="869" s="1" customFormat="1" spans="4:11">
      <c r="D869" s="2"/>
      <c r="E869" s="3"/>
      <c r="F869" s="3"/>
      <c r="G869" s="3"/>
      <c r="H869" s="3"/>
      <c r="I869" s="3"/>
      <c r="J869" s="3"/>
      <c r="K869" s="3"/>
    </row>
    <row r="870" s="1" customFormat="1" spans="4:11">
      <c r="D870" s="2"/>
      <c r="E870" s="3"/>
      <c r="F870" s="3"/>
      <c r="G870" s="3"/>
      <c r="H870" s="3"/>
      <c r="I870" s="3"/>
      <c r="J870" s="3"/>
      <c r="K870" s="3"/>
    </row>
    <row r="871" s="1" customFormat="1" spans="4:11">
      <c r="D871" s="2"/>
      <c r="E871" s="3"/>
      <c r="F871" s="3"/>
      <c r="G871" s="3"/>
      <c r="H871" s="3"/>
      <c r="I871" s="3"/>
      <c r="J871" s="3"/>
      <c r="K871" s="3"/>
    </row>
    <row r="872" s="1" customFormat="1" spans="4:11">
      <c r="D872" s="2"/>
      <c r="E872" s="3"/>
      <c r="F872" s="3"/>
      <c r="G872" s="3"/>
      <c r="H872" s="3"/>
      <c r="I872" s="3"/>
      <c r="J872" s="3"/>
      <c r="K872" s="3"/>
    </row>
    <row r="873" s="1" customFormat="1" spans="4:11">
      <c r="D873" s="2"/>
      <c r="E873" s="3"/>
      <c r="F873" s="3"/>
      <c r="G873" s="3"/>
      <c r="H873" s="3"/>
      <c r="I873" s="3"/>
      <c r="J873" s="3"/>
      <c r="K873" s="3"/>
    </row>
    <row r="874" s="1" customFormat="1" spans="4:11">
      <c r="D874" s="2"/>
      <c r="E874" s="3"/>
      <c r="F874" s="3"/>
      <c r="G874" s="3"/>
      <c r="H874" s="3"/>
      <c r="I874" s="3"/>
      <c r="J874" s="3"/>
      <c r="K874" s="3"/>
    </row>
    <row r="875" s="1" customFormat="1" spans="4:11">
      <c r="D875" s="2"/>
      <c r="E875" s="3"/>
      <c r="F875" s="3"/>
      <c r="G875" s="3"/>
      <c r="H875" s="3"/>
      <c r="I875" s="3"/>
      <c r="J875" s="3"/>
      <c r="K875" s="3"/>
    </row>
    <row r="876" s="1" customFormat="1" spans="4:11">
      <c r="D876" s="2"/>
      <c r="E876" s="3"/>
      <c r="F876" s="3"/>
      <c r="G876" s="3"/>
      <c r="H876" s="3"/>
      <c r="I876" s="3"/>
      <c r="J876" s="3"/>
      <c r="K876" s="3"/>
    </row>
    <row r="877" s="1" customFormat="1" spans="4:11">
      <c r="D877" s="2"/>
      <c r="E877" s="3"/>
      <c r="F877" s="3"/>
      <c r="G877" s="3"/>
      <c r="H877" s="3"/>
      <c r="I877" s="3"/>
      <c r="J877" s="3"/>
      <c r="K877" s="3"/>
    </row>
    <row r="878" s="1" customFormat="1" spans="4:11">
      <c r="D878" s="2"/>
      <c r="E878" s="3"/>
      <c r="F878" s="3"/>
      <c r="G878" s="3"/>
      <c r="H878" s="3"/>
      <c r="I878" s="3"/>
      <c r="J878" s="3"/>
      <c r="K878" s="3"/>
    </row>
    <row r="879" s="1" customFormat="1" spans="4:11">
      <c r="D879" s="2"/>
      <c r="E879" s="3"/>
      <c r="F879" s="3"/>
      <c r="G879" s="3"/>
      <c r="H879" s="3"/>
      <c r="I879" s="3"/>
      <c r="J879" s="3"/>
      <c r="K879" s="3"/>
    </row>
    <row r="880" s="1" customFormat="1" spans="4:11">
      <c r="D880" s="2"/>
      <c r="E880" s="3"/>
      <c r="F880" s="3"/>
      <c r="G880" s="3"/>
      <c r="H880" s="3"/>
      <c r="I880" s="3"/>
      <c r="J880" s="3"/>
      <c r="K880" s="3"/>
    </row>
    <row r="881" s="1" customFormat="1" spans="4:11">
      <c r="D881" s="2"/>
      <c r="E881" s="3"/>
      <c r="F881" s="3"/>
      <c r="G881" s="3"/>
      <c r="H881" s="3"/>
      <c r="I881" s="3"/>
      <c r="J881" s="3"/>
      <c r="K881" s="3"/>
    </row>
    <row r="882" s="1" customFormat="1" spans="4:11">
      <c r="D882" s="2"/>
      <c r="E882" s="3"/>
      <c r="F882" s="3"/>
      <c r="G882" s="3"/>
      <c r="H882" s="3"/>
      <c r="I882" s="3"/>
      <c r="J882" s="3"/>
      <c r="K882" s="3"/>
    </row>
    <row r="883" s="1" customFormat="1" spans="4:11">
      <c r="D883" s="2"/>
      <c r="E883" s="3"/>
      <c r="F883" s="3"/>
      <c r="G883" s="3"/>
      <c r="H883" s="3"/>
      <c r="I883" s="3"/>
      <c r="J883" s="3"/>
      <c r="K883" s="3"/>
    </row>
    <row r="884" s="1" customFormat="1" spans="4:11">
      <c r="D884" s="2"/>
      <c r="E884" s="3"/>
      <c r="F884" s="3"/>
      <c r="G884" s="3"/>
      <c r="H884" s="3"/>
      <c r="I884" s="3"/>
      <c r="J884" s="3"/>
      <c r="K884" s="3"/>
    </row>
    <row r="885" s="1" customFormat="1" spans="4:11">
      <c r="D885" s="2"/>
      <c r="E885" s="3"/>
      <c r="F885" s="3"/>
      <c r="G885" s="3"/>
      <c r="H885" s="3"/>
      <c r="I885" s="3"/>
      <c r="J885" s="3"/>
      <c r="K885" s="3"/>
    </row>
    <row r="886" s="1" customFormat="1" spans="4:11">
      <c r="D886" s="2"/>
      <c r="E886" s="3"/>
      <c r="F886" s="3"/>
      <c r="G886" s="3"/>
      <c r="H886" s="3"/>
      <c r="I886" s="3"/>
      <c r="J886" s="3"/>
      <c r="K886" s="3"/>
    </row>
    <row r="887" s="1" customFormat="1" spans="4:11">
      <c r="D887" s="2"/>
      <c r="E887" s="3"/>
      <c r="F887" s="3"/>
      <c r="G887" s="3"/>
      <c r="H887" s="3"/>
      <c r="I887" s="3"/>
      <c r="J887" s="3"/>
      <c r="K887" s="3"/>
    </row>
    <row r="888" s="1" customFormat="1" spans="4:11">
      <c r="D888" s="2"/>
      <c r="E888" s="3"/>
      <c r="F888" s="3"/>
      <c r="G888" s="3"/>
      <c r="H888" s="3"/>
      <c r="I888" s="3"/>
      <c r="J888" s="3"/>
      <c r="K888" s="3"/>
    </row>
    <row r="889" s="1" customFormat="1" spans="4:11">
      <c r="D889" s="2"/>
      <c r="E889" s="3"/>
      <c r="F889" s="3"/>
      <c r="G889" s="3"/>
      <c r="H889" s="3"/>
      <c r="I889" s="3"/>
      <c r="J889" s="3"/>
      <c r="K889" s="3"/>
    </row>
    <row r="890" s="1" customFormat="1" spans="4:11">
      <c r="D890" s="2"/>
      <c r="E890" s="3"/>
      <c r="F890" s="3"/>
      <c r="G890" s="3"/>
      <c r="H890" s="3"/>
      <c r="I890" s="3"/>
      <c r="J890" s="3"/>
      <c r="K890" s="3"/>
    </row>
    <row r="891" s="1" customFormat="1" spans="4:11">
      <c r="D891" s="2"/>
      <c r="E891" s="3"/>
      <c r="F891" s="3"/>
      <c r="G891" s="3"/>
      <c r="H891" s="3"/>
      <c r="I891" s="3"/>
      <c r="J891" s="3"/>
      <c r="K891" s="3"/>
    </row>
    <row r="892" s="1" customFormat="1" spans="4:11">
      <c r="D892" s="2"/>
      <c r="E892" s="3"/>
      <c r="F892" s="3"/>
      <c r="G892" s="3"/>
      <c r="H892" s="3"/>
      <c r="I892" s="3"/>
      <c r="J892" s="3"/>
      <c r="K892" s="3"/>
    </row>
    <row r="893" s="1" customFormat="1" spans="4:11">
      <c r="D893" s="2"/>
      <c r="E893" s="3"/>
      <c r="F893" s="3"/>
      <c r="G893" s="3"/>
      <c r="H893" s="3"/>
      <c r="I893" s="3"/>
      <c r="J893" s="3"/>
      <c r="K893" s="3"/>
    </row>
    <row r="894" s="1" customFormat="1" spans="4:11">
      <c r="D894" s="2"/>
      <c r="E894" s="3"/>
      <c r="F894" s="3"/>
      <c r="G894" s="3"/>
      <c r="H894" s="3"/>
      <c r="I894" s="3"/>
      <c r="J894" s="3"/>
      <c r="K894" s="3"/>
    </row>
    <row r="895" s="1" customFormat="1" spans="4:11">
      <c r="D895" s="2"/>
      <c r="E895" s="3"/>
      <c r="F895" s="3"/>
      <c r="G895" s="3"/>
      <c r="H895" s="3"/>
      <c r="I895" s="3"/>
      <c r="J895" s="3"/>
      <c r="K895" s="3"/>
    </row>
    <row r="896" s="1" customFormat="1" spans="4:11">
      <c r="D896" s="2"/>
      <c r="E896" s="3"/>
      <c r="F896" s="3"/>
      <c r="G896" s="3"/>
      <c r="H896" s="3"/>
      <c r="I896" s="3"/>
      <c r="J896" s="3"/>
      <c r="K896" s="3"/>
    </row>
    <row r="897" s="1" customFormat="1" spans="4:11">
      <c r="D897" s="2"/>
      <c r="E897" s="3"/>
      <c r="F897" s="3"/>
      <c r="G897" s="3"/>
      <c r="H897" s="3"/>
      <c r="I897" s="3"/>
      <c r="J897" s="3"/>
      <c r="K897" s="3"/>
    </row>
    <row r="898" s="1" customFormat="1" spans="4:11">
      <c r="D898" s="2"/>
      <c r="E898" s="3"/>
      <c r="F898" s="3"/>
      <c r="G898" s="3"/>
      <c r="H898" s="3"/>
      <c r="I898" s="3"/>
      <c r="J898" s="3"/>
      <c r="K898" s="3"/>
    </row>
    <row r="899" s="1" customFormat="1" spans="4:11">
      <c r="D899" s="2"/>
      <c r="E899" s="3"/>
      <c r="F899" s="3"/>
      <c r="G899" s="3"/>
      <c r="H899" s="3"/>
      <c r="I899" s="3"/>
      <c r="J899" s="3"/>
      <c r="K899" s="3"/>
    </row>
    <row r="900" s="1" customFormat="1" spans="4:11">
      <c r="D900" s="2"/>
      <c r="E900" s="3"/>
      <c r="F900" s="3"/>
      <c r="G900" s="3"/>
      <c r="H900" s="3"/>
      <c r="I900" s="3"/>
      <c r="J900" s="3"/>
      <c r="K900" s="3"/>
    </row>
    <row r="901" s="1" customFormat="1" spans="4:11">
      <c r="D901" s="2"/>
      <c r="E901" s="3"/>
      <c r="F901" s="3"/>
      <c r="G901" s="3"/>
      <c r="H901" s="3"/>
      <c r="I901" s="3"/>
      <c r="J901" s="3"/>
      <c r="K901" s="3"/>
    </row>
    <row r="902" s="1" customFormat="1" spans="4:11">
      <c r="D902" s="2"/>
      <c r="E902" s="3"/>
      <c r="F902" s="3"/>
      <c r="G902" s="3"/>
      <c r="H902" s="3"/>
      <c r="I902" s="3"/>
      <c r="J902" s="3"/>
      <c r="K902" s="3"/>
    </row>
    <row r="903" s="1" customFormat="1" spans="4:11">
      <c r="D903" s="2"/>
      <c r="E903" s="3"/>
      <c r="F903" s="3"/>
      <c r="G903" s="3"/>
      <c r="H903" s="3"/>
      <c r="I903" s="3"/>
      <c r="J903" s="3"/>
      <c r="K903" s="3"/>
    </row>
    <row r="904" s="1" customFormat="1" spans="4:11">
      <c r="D904" s="2"/>
      <c r="E904" s="3"/>
      <c r="F904" s="3"/>
      <c r="G904" s="3"/>
      <c r="H904" s="3"/>
      <c r="I904" s="3"/>
      <c r="J904" s="3"/>
      <c r="K904" s="3"/>
    </row>
    <row r="905" s="1" customFormat="1" spans="4:11">
      <c r="D905" s="2"/>
      <c r="E905" s="3"/>
      <c r="F905" s="3"/>
      <c r="G905" s="3"/>
      <c r="H905" s="3"/>
      <c r="I905" s="3"/>
      <c r="J905" s="3"/>
      <c r="K905" s="3"/>
    </row>
    <row r="906" s="1" customFormat="1" spans="4:11">
      <c r="D906" s="2"/>
      <c r="E906" s="3"/>
      <c r="F906" s="3"/>
      <c r="G906" s="3"/>
      <c r="H906" s="3"/>
      <c r="I906" s="3"/>
      <c r="J906" s="3"/>
      <c r="K906" s="3"/>
    </row>
    <row r="907" s="1" customFormat="1" spans="4:11">
      <c r="D907" s="2"/>
      <c r="E907" s="3"/>
      <c r="F907" s="3"/>
      <c r="G907" s="3"/>
      <c r="H907" s="3"/>
      <c r="I907" s="3"/>
      <c r="J907" s="3"/>
      <c r="K907" s="3"/>
    </row>
    <row r="908" s="1" customFormat="1" spans="4:11">
      <c r="D908" s="2"/>
      <c r="E908" s="3"/>
      <c r="F908" s="3"/>
      <c r="G908" s="3"/>
      <c r="H908" s="3"/>
      <c r="I908" s="3"/>
      <c r="J908" s="3"/>
      <c r="K908" s="3"/>
    </row>
    <row r="909" s="1" customFormat="1" spans="4:11">
      <c r="D909" s="2"/>
      <c r="E909" s="3"/>
      <c r="F909" s="3"/>
      <c r="G909" s="3"/>
      <c r="H909" s="3"/>
      <c r="I909" s="3"/>
      <c r="J909" s="3"/>
      <c r="K909" s="3"/>
    </row>
    <row r="910" s="1" customFormat="1" spans="4:11">
      <c r="D910" s="2"/>
      <c r="E910" s="3"/>
      <c r="F910" s="3"/>
      <c r="G910" s="3"/>
      <c r="H910" s="3"/>
      <c r="I910" s="3"/>
      <c r="J910" s="3"/>
      <c r="K910" s="3"/>
    </row>
    <row r="911" s="1" customFormat="1" spans="4:11">
      <c r="D911" s="2"/>
      <c r="E911" s="3"/>
      <c r="F911" s="3"/>
      <c r="G911" s="3"/>
      <c r="H911" s="3"/>
      <c r="I911" s="3"/>
      <c r="J911" s="3"/>
      <c r="K911" s="3"/>
    </row>
    <row r="912" s="1" customFormat="1" spans="4:11">
      <c r="D912" s="2"/>
      <c r="E912" s="3"/>
      <c r="F912" s="3"/>
      <c r="G912" s="3"/>
      <c r="H912" s="3"/>
      <c r="I912" s="3"/>
      <c r="J912" s="3"/>
      <c r="K912" s="3"/>
    </row>
    <row r="913" s="1" customFormat="1" spans="4:11">
      <c r="D913" s="2"/>
      <c r="E913" s="3"/>
      <c r="F913" s="3"/>
      <c r="G913" s="3"/>
      <c r="H913" s="3"/>
      <c r="I913" s="3"/>
      <c r="J913" s="3"/>
      <c r="K913" s="3"/>
    </row>
    <row r="914" s="1" customFormat="1" spans="4:11">
      <c r="D914" s="2"/>
      <c r="E914" s="3"/>
      <c r="F914" s="3"/>
      <c r="G914" s="3"/>
      <c r="H914" s="3"/>
      <c r="I914" s="3"/>
      <c r="J914" s="3"/>
      <c r="K914" s="3"/>
    </row>
    <row r="915" s="1" customFormat="1" spans="4:11">
      <c r="D915" s="2"/>
      <c r="E915" s="3"/>
      <c r="F915" s="3"/>
      <c r="G915" s="3"/>
      <c r="H915" s="3"/>
      <c r="I915" s="3"/>
      <c r="J915" s="3"/>
      <c r="K915" s="3"/>
    </row>
    <row r="916" s="1" customFormat="1" spans="4:11">
      <c r="D916" s="2"/>
      <c r="E916" s="3"/>
      <c r="F916" s="3"/>
      <c r="G916" s="3"/>
      <c r="H916" s="3"/>
      <c r="I916" s="3"/>
      <c r="J916" s="3"/>
      <c r="K916" s="3"/>
    </row>
    <row r="917" s="1" customFormat="1" spans="4:11">
      <c r="D917" s="2"/>
      <c r="E917" s="3"/>
      <c r="F917" s="3"/>
      <c r="G917" s="3"/>
      <c r="H917" s="3"/>
      <c r="I917" s="3"/>
      <c r="J917" s="3"/>
      <c r="K917" s="3"/>
    </row>
    <row r="918" s="1" customFormat="1" spans="4:11">
      <c r="D918" s="2"/>
      <c r="E918" s="3"/>
      <c r="F918" s="3"/>
      <c r="G918" s="3"/>
      <c r="H918" s="3"/>
      <c r="I918" s="3"/>
      <c r="J918" s="3"/>
      <c r="K918" s="3"/>
    </row>
    <row r="919" s="1" customFormat="1" spans="4:11">
      <c r="D919" s="2"/>
      <c r="E919" s="3"/>
      <c r="F919" s="3"/>
      <c r="G919" s="3"/>
      <c r="H919" s="3"/>
      <c r="I919" s="3"/>
      <c r="J919" s="3"/>
      <c r="K919" s="3"/>
    </row>
    <row r="920" s="1" customFormat="1" spans="4:11">
      <c r="D920" s="2"/>
      <c r="E920" s="3"/>
      <c r="F920" s="3"/>
      <c r="G920" s="3"/>
      <c r="H920" s="3"/>
      <c r="I920" s="3"/>
      <c r="J920" s="3"/>
      <c r="K920" s="3"/>
    </row>
    <row r="921" s="1" customFormat="1" spans="4:11">
      <c r="D921" s="2"/>
      <c r="E921" s="3"/>
      <c r="F921" s="3"/>
      <c r="G921" s="3"/>
      <c r="H921" s="3"/>
      <c r="I921" s="3"/>
      <c r="J921" s="3"/>
      <c r="K921" s="3"/>
    </row>
    <row r="922" s="1" customFormat="1" spans="4:11">
      <c r="D922" s="2"/>
      <c r="E922" s="3"/>
      <c r="F922" s="3"/>
      <c r="G922" s="3"/>
      <c r="H922" s="3"/>
      <c r="I922" s="3"/>
      <c r="J922" s="3"/>
      <c r="K922" s="3"/>
    </row>
    <row r="923" s="1" customFormat="1" spans="4:11">
      <c r="D923" s="2"/>
      <c r="E923" s="3"/>
      <c r="F923" s="3"/>
      <c r="G923" s="3"/>
      <c r="H923" s="3"/>
      <c r="I923" s="3"/>
      <c r="J923" s="3"/>
      <c r="K923" s="3"/>
    </row>
    <row r="924" s="1" customFormat="1" spans="4:11">
      <c r="D924" s="2"/>
      <c r="E924" s="3"/>
      <c r="F924" s="3"/>
      <c r="G924" s="3"/>
      <c r="H924" s="3"/>
      <c r="I924" s="3"/>
      <c r="J924" s="3"/>
      <c r="K924" s="3"/>
    </row>
    <row r="925" s="1" customFormat="1" spans="4:11">
      <c r="D925" s="2"/>
      <c r="E925" s="3"/>
      <c r="F925" s="3"/>
      <c r="G925" s="3"/>
      <c r="H925" s="3"/>
      <c r="I925" s="3"/>
      <c r="J925" s="3"/>
      <c r="K925" s="3"/>
    </row>
    <row r="926" s="1" customFormat="1" spans="4:11">
      <c r="D926" s="2"/>
      <c r="E926" s="3"/>
      <c r="F926" s="3"/>
      <c r="G926" s="3"/>
      <c r="H926" s="3"/>
      <c r="I926" s="3"/>
      <c r="J926" s="3"/>
      <c r="K926" s="3"/>
    </row>
    <row r="927" s="1" customFormat="1" spans="4:11">
      <c r="D927" s="2"/>
      <c r="E927" s="3"/>
      <c r="F927" s="3"/>
      <c r="G927" s="3"/>
      <c r="H927" s="3"/>
      <c r="I927" s="3"/>
      <c r="J927" s="3"/>
      <c r="K927" s="3"/>
    </row>
    <row r="928" s="1" customFormat="1" spans="4:11">
      <c r="D928" s="2"/>
      <c r="E928" s="3"/>
      <c r="F928" s="3"/>
      <c r="G928" s="3"/>
      <c r="H928" s="3"/>
      <c r="I928" s="3"/>
      <c r="J928" s="3"/>
      <c r="K928" s="3"/>
    </row>
    <row r="929" s="1" customFormat="1" spans="4:11">
      <c r="D929" s="2"/>
      <c r="E929" s="3"/>
      <c r="F929" s="3"/>
      <c r="G929" s="3"/>
      <c r="H929" s="3"/>
      <c r="I929" s="3"/>
      <c r="J929" s="3"/>
      <c r="K929" s="3"/>
    </row>
    <row r="930" s="1" customFormat="1" spans="4:11">
      <c r="D930" s="2"/>
      <c r="E930" s="3"/>
      <c r="F930" s="3"/>
      <c r="G930" s="3"/>
      <c r="H930" s="3"/>
      <c r="I930" s="3"/>
      <c r="J930" s="3"/>
      <c r="K930" s="3"/>
    </row>
    <row r="931" s="1" customFormat="1" spans="4:11">
      <c r="D931" s="2"/>
      <c r="E931" s="3"/>
      <c r="F931" s="3"/>
      <c r="G931" s="3"/>
      <c r="H931" s="3"/>
      <c r="I931" s="3"/>
      <c r="J931" s="3"/>
      <c r="K931" s="3"/>
    </row>
    <row r="932" s="1" customFormat="1" spans="4:11">
      <c r="D932" s="2"/>
      <c r="E932" s="3"/>
      <c r="F932" s="3"/>
      <c r="G932" s="3"/>
      <c r="H932" s="3"/>
      <c r="I932" s="3"/>
      <c r="J932" s="3"/>
      <c r="K932" s="3"/>
    </row>
    <row r="933" s="1" customFormat="1" spans="4:11">
      <c r="D933" s="2"/>
      <c r="E933" s="3"/>
      <c r="F933" s="3"/>
      <c r="G933" s="3"/>
      <c r="H933" s="3"/>
      <c r="I933" s="3"/>
      <c r="J933" s="3"/>
      <c r="K933" s="3"/>
    </row>
    <row r="934" s="1" customFormat="1" spans="4:11">
      <c r="D934" s="2"/>
      <c r="E934" s="3"/>
      <c r="F934" s="3"/>
      <c r="G934" s="3"/>
      <c r="H934" s="3"/>
      <c r="I934" s="3"/>
      <c r="J934" s="3"/>
      <c r="K934" s="3"/>
    </row>
    <row r="935" s="1" customFormat="1" spans="4:11">
      <c r="D935" s="2"/>
      <c r="E935" s="3"/>
      <c r="F935" s="3"/>
      <c r="G935" s="3"/>
      <c r="H935" s="3"/>
      <c r="I935" s="3"/>
      <c r="J935" s="3"/>
      <c r="K935" s="3"/>
    </row>
    <row r="936" s="1" customFormat="1" spans="4:11">
      <c r="D936" s="2"/>
      <c r="E936" s="3"/>
      <c r="F936" s="3"/>
      <c r="G936" s="3"/>
      <c r="H936" s="3"/>
      <c r="I936" s="3"/>
      <c r="J936" s="3"/>
      <c r="K936" s="3"/>
    </row>
    <row r="937" s="1" customFormat="1" spans="4:11">
      <c r="D937" s="2"/>
      <c r="E937" s="3"/>
      <c r="F937" s="3"/>
      <c r="G937" s="3"/>
      <c r="H937" s="3"/>
      <c r="I937" s="3"/>
      <c r="J937" s="3"/>
      <c r="K937" s="3"/>
    </row>
    <row r="938" s="1" customFormat="1" spans="4:11">
      <c r="D938" s="2"/>
      <c r="E938" s="3"/>
      <c r="F938" s="3"/>
      <c r="G938" s="3"/>
      <c r="H938" s="3"/>
      <c r="I938" s="3"/>
      <c r="J938" s="3"/>
      <c r="K938" s="3"/>
    </row>
    <row r="939" s="1" customFormat="1" spans="4:11">
      <c r="D939" s="2"/>
      <c r="E939" s="3"/>
      <c r="F939" s="3"/>
      <c r="G939" s="3"/>
      <c r="H939" s="3"/>
      <c r="I939" s="3"/>
      <c r="J939" s="3"/>
      <c r="K939" s="3"/>
    </row>
    <row r="940" s="1" customFormat="1" spans="4:11">
      <c r="D940" s="2"/>
      <c r="E940" s="3"/>
      <c r="F940" s="3"/>
      <c r="G940" s="3"/>
      <c r="H940" s="3"/>
      <c r="I940" s="3"/>
      <c r="J940" s="3"/>
      <c r="K940" s="3"/>
    </row>
    <row r="941" s="1" customFormat="1" spans="4:11">
      <c r="D941" s="2"/>
      <c r="E941" s="3"/>
      <c r="F941" s="3"/>
      <c r="G941" s="3"/>
      <c r="H941" s="3"/>
      <c r="I941" s="3"/>
      <c r="J941" s="3"/>
      <c r="K941" s="3"/>
    </row>
    <row r="942" s="1" customFormat="1" spans="4:11">
      <c r="D942" s="2"/>
      <c r="E942" s="3"/>
      <c r="F942" s="3"/>
      <c r="G942" s="3"/>
      <c r="H942" s="3"/>
      <c r="I942" s="3"/>
      <c r="J942" s="3"/>
      <c r="K942" s="3"/>
    </row>
    <row r="943" s="1" customFormat="1" spans="4:11">
      <c r="D943" s="2"/>
      <c r="E943" s="3"/>
      <c r="F943" s="3"/>
      <c r="G943" s="3"/>
      <c r="H943" s="3"/>
      <c r="I943" s="3"/>
      <c r="J943" s="3"/>
      <c r="K943" s="3"/>
    </row>
    <row r="944" s="1" customFormat="1" spans="4:11">
      <c r="D944" s="2"/>
      <c r="E944" s="3"/>
      <c r="F944" s="3"/>
      <c r="G944" s="3"/>
      <c r="H944" s="3"/>
      <c r="I944" s="3"/>
      <c r="J944" s="3"/>
      <c r="K944" s="3"/>
    </row>
    <row r="945" s="1" customFormat="1" spans="4:11">
      <c r="D945" s="2"/>
      <c r="E945" s="3"/>
      <c r="F945" s="3"/>
      <c r="G945" s="3"/>
      <c r="H945" s="3"/>
      <c r="I945" s="3"/>
      <c r="J945" s="3"/>
      <c r="K945" s="3"/>
    </row>
    <row r="946" s="1" customFormat="1" spans="4:11">
      <c r="D946" s="2"/>
      <c r="E946" s="3"/>
      <c r="F946" s="3"/>
      <c r="G946" s="3"/>
      <c r="H946" s="3"/>
      <c r="I946" s="3"/>
      <c r="J946" s="3"/>
      <c r="K946" s="3"/>
    </row>
    <row r="947" s="1" customFormat="1" spans="4:11">
      <c r="D947" s="2"/>
      <c r="E947" s="3"/>
      <c r="F947" s="3"/>
      <c r="G947" s="3"/>
      <c r="H947" s="3"/>
      <c r="I947" s="3"/>
      <c r="J947" s="3"/>
      <c r="K947" s="3"/>
    </row>
    <row r="948" s="1" customFormat="1" spans="4:11">
      <c r="D948" s="2"/>
      <c r="E948" s="3"/>
      <c r="F948" s="3"/>
      <c r="G948" s="3"/>
      <c r="H948" s="3"/>
      <c r="I948" s="3"/>
      <c r="J948" s="3"/>
      <c r="K948" s="3"/>
    </row>
    <row r="949" s="1" customFormat="1" spans="4:11">
      <c r="D949" s="2"/>
      <c r="E949" s="3"/>
      <c r="F949" s="3"/>
      <c r="G949" s="3"/>
      <c r="H949" s="3"/>
      <c r="I949" s="3"/>
      <c r="J949" s="3"/>
      <c r="K949" s="3"/>
    </row>
    <row r="950" s="1" customFormat="1" spans="4:11">
      <c r="D950" s="2"/>
      <c r="E950" s="3"/>
      <c r="F950" s="3"/>
      <c r="G950" s="3"/>
      <c r="H950" s="3"/>
      <c r="I950" s="3"/>
      <c r="J950" s="3"/>
      <c r="K950" s="3"/>
    </row>
    <row r="951" s="1" customFormat="1" spans="4:11">
      <c r="D951" s="2"/>
      <c r="E951" s="3"/>
      <c r="F951" s="3"/>
      <c r="G951" s="3"/>
      <c r="H951" s="3"/>
      <c r="I951" s="3"/>
      <c r="J951" s="3"/>
      <c r="K951" s="3"/>
    </row>
    <row r="952" s="1" customFormat="1" spans="4:11">
      <c r="D952" s="2"/>
      <c r="E952" s="3"/>
      <c r="F952" s="3"/>
      <c r="G952" s="3"/>
      <c r="H952" s="3"/>
      <c r="I952" s="3"/>
      <c r="J952" s="3"/>
      <c r="K952" s="3"/>
    </row>
    <row r="953" s="1" customFormat="1" spans="4:11">
      <c r="D953" s="2"/>
      <c r="E953" s="3"/>
      <c r="F953" s="3"/>
      <c r="G953" s="3"/>
      <c r="H953" s="3"/>
      <c r="I953" s="3"/>
      <c r="J953" s="3"/>
      <c r="K953" s="3"/>
    </row>
    <row r="954" s="1" customFormat="1" spans="4:11">
      <c r="D954" s="2"/>
      <c r="E954" s="3"/>
      <c r="F954" s="3"/>
      <c r="G954" s="3"/>
      <c r="H954" s="3"/>
      <c r="I954" s="3"/>
      <c r="J954" s="3"/>
      <c r="K954" s="3"/>
    </row>
    <row r="955" s="1" customFormat="1" spans="4:11">
      <c r="D955" s="2"/>
      <c r="E955" s="3"/>
      <c r="F955" s="3"/>
      <c r="G955" s="3"/>
      <c r="H955" s="3"/>
      <c r="I955" s="3"/>
      <c r="J955" s="3"/>
      <c r="K955" s="3"/>
    </row>
    <row r="956" s="1" customFormat="1" spans="4:11">
      <c r="D956" s="2"/>
      <c r="E956" s="3"/>
      <c r="F956" s="3"/>
      <c r="G956" s="3"/>
      <c r="H956" s="3"/>
      <c r="I956" s="3"/>
      <c r="J956" s="3"/>
      <c r="K956" s="3"/>
    </row>
    <row r="957" s="1" customFormat="1" spans="4:11">
      <c r="D957" s="2"/>
      <c r="E957" s="3"/>
      <c r="F957" s="3"/>
      <c r="G957" s="3"/>
      <c r="H957" s="3"/>
      <c r="I957" s="3"/>
      <c r="J957" s="3"/>
      <c r="K957" s="3"/>
    </row>
    <row r="958" s="1" customFormat="1" spans="4:11">
      <c r="D958" s="2"/>
      <c r="E958" s="3"/>
      <c r="F958" s="3"/>
      <c r="G958" s="3"/>
      <c r="H958" s="3"/>
      <c r="I958" s="3"/>
      <c r="J958" s="3"/>
      <c r="K958" s="3"/>
    </row>
    <row r="959" s="1" customFormat="1" spans="4:11">
      <c r="D959" s="2"/>
      <c r="E959" s="3"/>
      <c r="F959" s="3"/>
      <c r="G959" s="3"/>
      <c r="H959" s="3"/>
      <c r="I959" s="3"/>
      <c r="J959" s="3"/>
      <c r="K959" s="3"/>
    </row>
    <row r="960" s="1" customFormat="1" spans="4:11">
      <c r="D960" s="2"/>
      <c r="E960" s="3"/>
      <c r="F960" s="3"/>
      <c r="G960" s="3"/>
      <c r="H960" s="3"/>
      <c r="I960" s="3"/>
      <c r="J960" s="3"/>
      <c r="K960" s="3"/>
    </row>
    <row r="961" s="1" customFormat="1" spans="4:11">
      <c r="D961" s="2"/>
      <c r="E961" s="3"/>
      <c r="F961" s="3"/>
      <c r="G961" s="3"/>
      <c r="H961" s="3"/>
      <c r="I961" s="3"/>
      <c r="J961" s="3"/>
      <c r="K961" s="3"/>
    </row>
    <row r="962" s="1" customFormat="1" spans="4:11">
      <c r="D962" s="2"/>
      <c r="E962" s="3"/>
      <c r="F962" s="3"/>
      <c r="G962" s="3"/>
      <c r="H962" s="3"/>
      <c r="I962" s="3"/>
      <c r="J962" s="3"/>
      <c r="K962" s="3"/>
    </row>
    <row r="963" s="1" customFormat="1" spans="4:11">
      <c r="D963" s="2"/>
      <c r="E963" s="3"/>
      <c r="F963" s="3"/>
      <c r="G963" s="3"/>
      <c r="H963" s="3"/>
      <c r="I963" s="3"/>
      <c r="J963" s="3"/>
      <c r="K963" s="3"/>
    </row>
    <row r="964" s="1" customFormat="1" spans="4:11">
      <c r="D964" s="2"/>
      <c r="E964" s="3"/>
      <c r="F964" s="3"/>
      <c r="G964" s="3"/>
      <c r="H964" s="3"/>
      <c r="I964" s="3"/>
      <c r="J964" s="3"/>
      <c r="K964" s="3"/>
    </row>
    <row r="965" s="1" customFormat="1" spans="4:11">
      <c r="D965" s="2"/>
      <c r="E965" s="3"/>
      <c r="F965" s="3"/>
      <c r="G965" s="3"/>
      <c r="H965" s="3"/>
      <c r="I965" s="3"/>
      <c r="J965" s="3"/>
      <c r="K965" s="3"/>
    </row>
    <row r="966" s="1" customFormat="1" spans="4:11">
      <c r="D966" s="2"/>
      <c r="E966" s="3"/>
      <c r="F966" s="3"/>
      <c r="G966" s="3"/>
      <c r="H966" s="3"/>
      <c r="I966" s="3"/>
      <c r="J966" s="3"/>
      <c r="K966" s="3"/>
    </row>
    <row r="967" s="1" customFormat="1" spans="4:11">
      <c r="D967" s="2"/>
      <c r="E967" s="3"/>
      <c r="F967" s="3"/>
      <c r="G967" s="3"/>
      <c r="H967" s="3"/>
      <c r="I967" s="3"/>
      <c r="J967" s="3"/>
      <c r="K967" s="3"/>
    </row>
    <row r="968" s="1" customFormat="1" spans="4:11">
      <c r="D968" s="2"/>
      <c r="E968" s="3"/>
      <c r="F968" s="3"/>
      <c r="G968" s="3"/>
      <c r="H968" s="3"/>
      <c r="I968" s="3"/>
      <c r="J968" s="3"/>
      <c r="K968" s="3"/>
    </row>
    <row r="969" s="1" customFormat="1" spans="4:11">
      <c r="D969" s="2"/>
      <c r="E969" s="3"/>
      <c r="F969" s="3"/>
      <c r="G969" s="3"/>
      <c r="H969" s="3"/>
      <c r="I969" s="3"/>
      <c r="J969" s="3"/>
      <c r="K969" s="3"/>
    </row>
    <row r="970" s="1" customFormat="1" spans="4:11">
      <c r="D970" s="2"/>
      <c r="E970" s="3"/>
      <c r="F970" s="3"/>
      <c r="G970" s="3"/>
      <c r="H970" s="3"/>
      <c r="I970" s="3"/>
      <c r="J970" s="3"/>
      <c r="K970" s="3"/>
    </row>
    <row r="971" s="1" customFormat="1" spans="4:11">
      <c r="D971" s="2"/>
      <c r="E971" s="3"/>
      <c r="F971" s="3"/>
      <c r="G971" s="3"/>
      <c r="H971" s="3"/>
      <c r="I971" s="3"/>
      <c r="J971" s="3"/>
      <c r="K971" s="3"/>
    </row>
    <row r="972" s="1" customFormat="1" spans="4:11">
      <c r="D972" s="2"/>
      <c r="E972" s="3"/>
      <c r="F972" s="3"/>
      <c r="G972" s="3"/>
      <c r="H972" s="3"/>
      <c r="I972" s="3"/>
      <c r="J972" s="3"/>
      <c r="K972" s="3"/>
    </row>
    <row r="973" s="1" customFormat="1" spans="4:11">
      <c r="D973" s="2"/>
      <c r="E973" s="3"/>
      <c r="F973" s="3"/>
      <c r="G973" s="3"/>
      <c r="H973" s="3"/>
      <c r="I973" s="3"/>
      <c r="J973" s="3"/>
      <c r="K973" s="3"/>
    </row>
    <row r="974" s="1" customFormat="1" spans="4:11">
      <c r="D974" s="2"/>
      <c r="E974" s="3"/>
      <c r="F974" s="3"/>
      <c r="G974" s="3"/>
      <c r="H974" s="3"/>
      <c r="I974" s="3"/>
      <c r="J974" s="3"/>
      <c r="K974" s="3"/>
    </row>
    <row r="975" s="1" customFormat="1" spans="4:11">
      <c r="D975" s="2"/>
      <c r="E975" s="3"/>
      <c r="F975" s="3"/>
      <c r="G975" s="3"/>
      <c r="H975" s="3"/>
      <c r="I975" s="3"/>
      <c r="J975" s="3"/>
      <c r="K975" s="3"/>
    </row>
    <row r="976" s="1" customFormat="1" spans="4:11">
      <c r="D976" s="2"/>
      <c r="E976" s="3"/>
      <c r="F976" s="3"/>
      <c r="G976" s="3"/>
      <c r="H976" s="3"/>
      <c r="I976" s="3"/>
      <c r="J976" s="3"/>
      <c r="K976" s="3"/>
    </row>
    <row r="977" s="1" customFormat="1" spans="4:11">
      <c r="D977" s="2"/>
      <c r="E977" s="3"/>
      <c r="F977" s="3"/>
      <c r="G977" s="3"/>
      <c r="H977" s="3"/>
      <c r="I977" s="3"/>
      <c r="J977" s="3"/>
      <c r="K977" s="3"/>
    </row>
    <row r="978" s="1" customFormat="1" spans="4:11">
      <c r="D978" s="2"/>
      <c r="E978" s="3"/>
      <c r="F978" s="3"/>
      <c r="G978" s="3"/>
      <c r="H978" s="3"/>
      <c r="I978" s="3"/>
      <c r="J978" s="3"/>
      <c r="K978" s="3"/>
    </row>
    <row r="979" s="1" customFormat="1" spans="4:11">
      <c r="D979" s="2"/>
      <c r="E979" s="3"/>
      <c r="F979" s="3"/>
      <c r="G979" s="3"/>
      <c r="H979" s="3"/>
      <c r="I979" s="3"/>
      <c r="J979" s="3"/>
      <c r="K979" s="3"/>
    </row>
    <row r="980" s="1" customFormat="1" spans="4:11">
      <c r="D980" s="2"/>
      <c r="E980" s="3"/>
      <c r="F980" s="3"/>
      <c r="G980" s="3"/>
      <c r="H980" s="3"/>
      <c r="I980" s="3"/>
      <c r="J980" s="3"/>
      <c r="K980" s="3"/>
    </row>
    <row r="981" s="1" customFormat="1" spans="4:11">
      <c r="D981" s="2"/>
      <c r="E981" s="3"/>
      <c r="F981" s="3"/>
      <c r="G981" s="3"/>
      <c r="H981" s="3"/>
      <c r="I981" s="3"/>
      <c r="J981" s="3"/>
      <c r="K981" s="3"/>
    </row>
    <row r="982" s="1" customFormat="1" spans="4:11">
      <c r="D982" s="2"/>
      <c r="E982" s="3"/>
      <c r="F982" s="3"/>
      <c r="G982" s="3"/>
      <c r="H982" s="3"/>
      <c r="I982" s="3"/>
      <c r="J982" s="3"/>
      <c r="K982" s="3"/>
    </row>
    <row r="983" s="1" customFormat="1" spans="4:11">
      <c r="D983" s="2"/>
      <c r="E983" s="3"/>
      <c r="F983" s="3"/>
      <c r="G983" s="3"/>
      <c r="H983" s="3"/>
      <c r="I983" s="3"/>
      <c r="J983" s="3"/>
      <c r="K983" s="3"/>
    </row>
    <row r="984" s="1" customFormat="1" spans="4:11">
      <c r="D984" s="2"/>
      <c r="E984" s="3"/>
      <c r="F984" s="3"/>
      <c r="G984" s="3"/>
      <c r="H984" s="3"/>
      <c r="I984" s="3"/>
      <c r="J984" s="3"/>
      <c r="K984" s="3"/>
    </row>
    <row r="985" s="1" customFormat="1" spans="4:11">
      <c r="D985" s="2"/>
      <c r="E985" s="3"/>
      <c r="F985" s="3"/>
      <c r="G985" s="3"/>
      <c r="H985" s="3"/>
      <c r="I985" s="3"/>
      <c r="J985" s="3"/>
      <c r="K985" s="3"/>
    </row>
    <row r="986" s="1" customFormat="1" spans="4:11">
      <c r="D986" s="2"/>
      <c r="E986" s="3"/>
      <c r="F986" s="3"/>
      <c r="G986" s="3"/>
      <c r="H986" s="3"/>
      <c r="I986" s="3"/>
      <c r="J986" s="3"/>
      <c r="K986" s="3"/>
    </row>
    <row r="987" s="1" customFormat="1" spans="4:11">
      <c r="D987" s="2"/>
      <c r="E987" s="3"/>
      <c r="F987" s="3"/>
      <c r="G987" s="3"/>
      <c r="H987" s="3"/>
      <c r="I987" s="3"/>
      <c r="J987" s="3"/>
      <c r="K987" s="3"/>
    </row>
    <row r="988" s="1" customFormat="1" spans="4:11">
      <c r="D988" s="2"/>
      <c r="E988" s="3"/>
      <c r="F988" s="3"/>
      <c r="G988" s="3"/>
      <c r="H988" s="3"/>
      <c r="I988" s="3"/>
      <c r="J988" s="3"/>
      <c r="K988" s="3"/>
    </row>
    <row r="989" s="1" customFormat="1" spans="4:11">
      <c r="D989" s="2"/>
      <c r="E989" s="3"/>
      <c r="F989" s="3"/>
      <c r="G989" s="3"/>
      <c r="H989" s="3"/>
      <c r="I989" s="3"/>
      <c r="J989" s="3"/>
      <c r="K989" s="3"/>
    </row>
    <row r="990" s="1" customFormat="1" spans="4:11">
      <c r="D990" s="2"/>
      <c r="E990" s="3"/>
      <c r="F990" s="3"/>
      <c r="G990" s="3"/>
      <c r="H990" s="3"/>
      <c r="I990" s="3"/>
      <c r="J990" s="3"/>
      <c r="K990" s="3"/>
    </row>
    <row r="991" s="1" customFormat="1" spans="4:11">
      <c r="D991" s="2"/>
      <c r="E991" s="3"/>
      <c r="F991" s="3"/>
      <c r="G991" s="3"/>
      <c r="H991" s="3"/>
      <c r="I991" s="3"/>
      <c r="J991" s="3"/>
      <c r="K991" s="3"/>
    </row>
    <row r="992" s="1" customFormat="1" spans="4:11">
      <c r="D992" s="2"/>
      <c r="E992" s="3"/>
      <c r="F992" s="3"/>
      <c r="G992" s="3"/>
      <c r="H992" s="3"/>
      <c r="I992" s="3"/>
      <c r="J992" s="3"/>
      <c r="K992" s="3"/>
    </row>
    <row r="993" s="1" customFormat="1" spans="4:11">
      <c r="D993" s="2"/>
      <c r="E993" s="3"/>
      <c r="F993" s="3"/>
      <c r="G993" s="3"/>
      <c r="H993" s="3"/>
      <c r="I993" s="3"/>
      <c r="J993" s="3"/>
      <c r="K993" s="3"/>
    </row>
    <row r="994" s="1" customFormat="1" spans="4:11">
      <c r="D994" s="2"/>
      <c r="E994" s="3"/>
      <c r="F994" s="3"/>
      <c r="G994" s="3"/>
      <c r="H994" s="3"/>
      <c r="I994" s="3"/>
      <c r="J994" s="3"/>
      <c r="K994" s="3"/>
    </row>
    <row r="995" s="1" customFormat="1" spans="4:11">
      <c r="D995" s="2"/>
      <c r="E995" s="3"/>
      <c r="F995" s="3"/>
      <c r="G995" s="3"/>
      <c r="H995" s="3"/>
      <c r="I995" s="3"/>
      <c r="J995" s="3"/>
      <c r="K995" s="3"/>
    </row>
    <row r="996" s="1" customFormat="1" spans="4:11">
      <c r="D996" s="2"/>
      <c r="E996" s="3"/>
      <c r="F996" s="3"/>
      <c r="G996" s="3"/>
      <c r="H996" s="3"/>
      <c r="I996" s="3"/>
      <c r="J996" s="3"/>
      <c r="K996" s="3"/>
    </row>
    <row r="997" s="1" customFormat="1" spans="4:11">
      <c r="D997" s="2"/>
      <c r="E997" s="3"/>
      <c r="F997" s="3"/>
      <c r="G997" s="3"/>
      <c r="H997" s="3"/>
      <c r="I997" s="3"/>
      <c r="J997" s="3"/>
      <c r="K997" s="3"/>
    </row>
    <row r="998" s="1" customFormat="1" spans="4:11">
      <c r="D998" s="2"/>
      <c r="E998" s="3"/>
      <c r="F998" s="3"/>
      <c r="G998" s="3"/>
      <c r="H998" s="3"/>
      <c r="I998" s="3"/>
      <c r="J998" s="3"/>
      <c r="K998" s="3"/>
    </row>
    <row r="999" s="1" customFormat="1" spans="4:11">
      <c r="D999" s="2"/>
      <c r="E999" s="3"/>
      <c r="F999" s="3"/>
      <c r="G999" s="3"/>
      <c r="H999" s="3"/>
      <c r="I999" s="3"/>
      <c r="J999" s="3"/>
      <c r="K999" s="3"/>
    </row>
    <row r="1000" s="1" customFormat="1" spans="4:11">
      <c r="D1000" s="2"/>
      <c r="E1000" s="3"/>
      <c r="F1000" s="3"/>
      <c r="G1000" s="3"/>
      <c r="H1000" s="3"/>
      <c r="I1000" s="3"/>
      <c r="J1000" s="3"/>
      <c r="K1000" s="3"/>
    </row>
    <row r="1001" s="1" customFormat="1" spans="4:11">
      <c r="D1001" s="2"/>
      <c r="E1001" s="3"/>
      <c r="F1001" s="3"/>
      <c r="G1001" s="3"/>
      <c r="H1001" s="3"/>
      <c r="I1001" s="3"/>
      <c r="J1001" s="3"/>
      <c r="K1001" s="3"/>
    </row>
    <row r="1002" s="1" customFormat="1" spans="4:11">
      <c r="D1002" s="2"/>
      <c r="E1002" s="3"/>
      <c r="F1002" s="3"/>
      <c r="G1002" s="3"/>
      <c r="H1002" s="3"/>
      <c r="I1002" s="3"/>
      <c r="J1002" s="3"/>
      <c r="K1002" s="3"/>
    </row>
    <row r="1003" s="1" customFormat="1" spans="4:11">
      <c r="D1003" s="2"/>
      <c r="E1003" s="3"/>
      <c r="F1003" s="3"/>
      <c r="G1003" s="3"/>
      <c r="H1003" s="3"/>
      <c r="I1003" s="3"/>
      <c r="J1003" s="3"/>
      <c r="K1003" s="3"/>
    </row>
    <row r="1004" s="1" customFormat="1" spans="4:11">
      <c r="D1004" s="2"/>
      <c r="E1004" s="3"/>
      <c r="F1004" s="3"/>
      <c r="G1004" s="3"/>
      <c r="H1004" s="3"/>
      <c r="I1004" s="3"/>
      <c r="J1004" s="3"/>
      <c r="K1004" s="3"/>
    </row>
    <row r="1005" s="1" customFormat="1" spans="4:11">
      <c r="D1005" s="2"/>
      <c r="E1005" s="3"/>
      <c r="F1005" s="3"/>
      <c r="G1005" s="3"/>
      <c r="H1005" s="3"/>
      <c r="I1005" s="3"/>
      <c r="J1005" s="3"/>
      <c r="K1005" s="3"/>
    </row>
    <row r="1006" s="1" customFormat="1" spans="4:11">
      <c r="D1006" s="2"/>
      <c r="E1006" s="3"/>
      <c r="F1006" s="3"/>
      <c r="G1006" s="3"/>
      <c r="H1006" s="3"/>
      <c r="I1006" s="3"/>
      <c r="J1006" s="3"/>
      <c r="K1006" s="3"/>
    </row>
    <row r="1007" s="1" customFormat="1" spans="4:11">
      <c r="D1007" s="2"/>
      <c r="E1007" s="3"/>
      <c r="F1007" s="3"/>
      <c r="G1007" s="3"/>
      <c r="H1007" s="3"/>
      <c r="I1007" s="3"/>
      <c r="J1007" s="3"/>
      <c r="K1007" s="3"/>
    </row>
    <row r="1008" s="1" customFormat="1" spans="4:11">
      <c r="D1008" s="2"/>
      <c r="E1008" s="3"/>
      <c r="F1008" s="3"/>
      <c r="G1008" s="3"/>
      <c r="H1008" s="3"/>
      <c r="I1008" s="3"/>
      <c r="J1008" s="3"/>
      <c r="K1008" s="3"/>
    </row>
    <row r="1009" s="1" customFormat="1" spans="4:11 16351:16380">
      <c r="D1009" s="2"/>
      <c r="E1009" s="3"/>
      <c r="F1009" s="3"/>
      <c r="G1009" s="3"/>
      <c r="H1009" s="3"/>
      <c r="I1009" s="3"/>
      <c r="J1009" s="3"/>
      <c r="K1009" s="3"/>
    </row>
    <row r="1010" s="1" customFormat="1" spans="4:11 16351:16380">
      <c r="D1010" s="2"/>
      <c r="E1010" s="3"/>
      <c r="F1010" s="3"/>
      <c r="G1010" s="3"/>
      <c r="H1010" s="3"/>
      <c r="I1010" s="3"/>
      <c r="J1010" s="3"/>
      <c r="K1010" s="3"/>
    </row>
    <row r="1011" s="1" customFormat="1" spans="4:11 16351:16380">
      <c r="D1011" s="2"/>
      <c r="E1011" s="3"/>
      <c r="F1011" s="3"/>
      <c r="G1011" s="3"/>
      <c r="H1011" s="3"/>
      <c r="I1011" s="3"/>
      <c r="J1011" s="3"/>
      <c r="K1011" s="3"/>
    </row>
    <row r="1012" s="1" customFormat="1" spans="4:11 16351:16380">
      <c r="D1012" s="2"/>
      <c r="E1012" s="3"/>
      <c r="F1012" s="3"/>
      <c r="G1012" s="3"/>
      <c r="H1012" s="3"/>
      <c r="I1012" s="3"/>
      <c r="J1012" s="3"/>
      <c r="K1012" s="3"/>
    </row>
    <row r="1013" s="1" customFormat="1" spans="4:11 16351:16380">
      <c r="D1013" s="2"/>
      <c r="E1013" s="3"/>
      <c r="F1013" s="3"/>
      <c r="G1013" s="3"/>
      <c r="H1013" s="3"/>
      <c r="I1013" s="3"/>
      <c r="J1013" s="3"/>
      <c r="K1013" s="3"/>
    </row>
    <row r="1014" s="1" customFormat="1" spans="4:11 16351:16380">
      <c r="D1014" s="2"/>
      <c r="E1014" s="3"/>
      <c r="F1014" s="3"/>
      <c r="G1014" s="3"/>
      <c r="H1014" s="3"/>
      <c r="I1014" s="3"/>
      <c r="J1014" s="3"/>
      <c r="K1014" s="3"/>
    </row>
    <row r="1015" s="1" customFormat="1" spans="4:11 16351:16380">
      <c r="D1015" s="2"/>
      <c r="E1015" s="3"/>
      <c r="F1015" s="3"/>
      <c r="G1015" s="3"/>
      <c r="H1015" s="3"/>
      <c r="I1015" s="3"/>
      <c r="J1015" s="3"/>
      <c r="K1015" s="3"/>
    </row>
    <row r="1016" s="1" customFormat="1" spans="4:11 16351:16380">
      <c r="D1016" s="2"/>
      <c r="E1016" s="3"/>
      <c r="F1016" s="3"/>
      <c r="G1016" s="3"/>
      <c r="H1016" s="3"/>
      <c r="I1016" s="3"/>
      <c r="J1016" s="3"/>
      <c r="K1016" s="3"/>
    </row>
    <row r="1017" s="1" customFormat="1" spans="4:11 16351:16380">
      <c r="D1017" s="2"/>
      <c r="E1017" s="3"/>
      <c r="F1017" s="3"/>
      <c r="G1017" s="3"/>
      <c r="H1017" s="3"/>
      <c r="I1017" s="3"/>
      <c r="J1017" s="3"/>
      <c r="K1017" s="3"/>
    </row>
    <row r="1018" s="1" customFormat="1" spans="4:11 16351:16380">
      <c r="D1018" s="2"/>
      <c r="E1018" s="3"/>
      <c r="F1018" s="3"/>
      <c r="G1018" s="3"/>
      <c r="H1018" s="3"/>
      <c r="I1018" s="3"/>
      <c r="J1018" s="3"/>
      <c r="K1018" s="3"/>
    </row>
    <row r="1019" s="1" customFormat="1" spans="4:11 16351:16380">
      <c r="D1019" s="2"/>
      <c r="E1019" s="3"/>
      <c r="F1019" s="3"/>
      <c r="G1019" s="3"/>
      <c r="H1019" s="3"/>
      <c r="I1019" s="3"/>
      <c r="J1019" s="3"/>
      <c r="K1019" s="3"/>
      <c r="XDW1019" s="4"/>
      <c r="XDX1019" s="4"/>
      <c r="XDY1019" s="4"/>
      <c r="XDZ1019" s="4"/>
      <c r="XEA1019" s="4"/>
      <c r="XEB1019" s="4"/>
      <c r="XEC1019" s="4"/>
      <c r="XED1019" s="4"/>
      <c r="XEE1019" s="4"/>
      <c r="XEF1019" s="4"/>
      <c r="XEG1019" s="4"/>
      <c r="XEH1019" s="4"/>
      <c r="XEI1019" s="4"/>
      <c r="XEJ1019" s="4"/>
      <c r="XEK1019" s="4"/>
      <c r="XEL1019" s="4"/>
      <c r="XEM1019" s="4"/>
      <c r="XEN1019" s="4"/>
      <c r="XEO1019" s="4"/>
      <c r="XEP1019" s="4"/>
      <c r="XEQ1019" s="4"/>
      <c r="XER1019" s="4"/>
      <c r="XES1019" s="4"/>
      <c r="XET1019" s="4"/>
      <c r="XEU1019" s="4"/>
      <c r="XEV1019" s="4"/>
      <c r="XEW1019" s="4"/>
      <c r="XEX1019" s="4"/>
      <c r="XEY1019" s="4"/>
      <c r="XEZ1019" s="4"/>
    </row>
    <row r="1020" s="1" customFormat="1" spans="4:11 16351:16380">
      <c r="D1020" s="2"/>
      <c r="E1020" s="3"/>
      <c r="F1020" s="3"/>
      <c r="G1020" s="3"/>
      <c r="H1020" s="3"/>
      <c r="I1020" s="3"/>
      <c r="J1020" s="3"/>
      <c r="K1020" s="3"/>
      <c r="XDW1020" s="4"/>
      <c r="XDX1020" s="4"/>
      <c r="XDY1020" s="4"/>
      <c r="XDZ1020" s="4"/>
      <c r="XEA1020" s="4"/>
      <c r="XEB1020" s="4"/>
      <c r="XEC1020" s="4"/>
      <c r="XED1020" s="4"/>
      <c r="XEE1020" s="4"/>
      <c r="XEF1020" s="4"/>
      <c r="XEG1020" s="4"/>
      <c r="XEH1020" s="4"/>
      <c r="XEI1020" s="4"/>
      <c r="XEJ1020" s="4"/>
      <c r="XEK1020" s="4"/>
      <c r="XEL1020" s="4"/>
      <c r="XEM1020" s="4"/>
      <c r="XEN1020" s="4"/>
      <c r="XEO1020" s="4"/>
      <c r="XEP1020" s="4"/>
      <c r="XEQ1020" s="4"/>
      <c r="XER1020" s="4"/>
      <c r="XES1020" s="4"/>
      <c r="XET1020" s="4"/>
      <c r="XEU1020" s="4"/>
      <c r="XEV1020" s="4"/>
      <c r="XEW1020" s="4"/>
      <c r="XEX1020" s="4"/>
      <c r="XEY1020" s="4"/>
      <c r="XEZ1020" s="4"/>
    </row>
  </sheetData>
  <mergeCells count="11">
    <mergeCell ref="D1:K1"/>
    <mergeCell ref="I2:K2"/>
    <mergeCell ref="E4:K4"/>
    <mergeCell ref="A1:A4"/>
    <mergeCell ref="B1:B4"/>
    <mergeCell ref="C1:C4"/>
    <mergeCell ref="D2:D3"/>
    <mergeCell ref="E2:E3"/>
    <mergeCell ref="F2:F3"/>
    <mergeCell ref="G2:G3"/>
    <mergeCell ref="H2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mitok</dc:creator>
  <cp:lastModifiedBy>Mike M. Mitoko</cp:lastModifiedBy>
  <dcterms:created xsi:type="dcterms:W3CDTF">2025-03-16T11:01:00Z</dcterms:created>
  <dcterms:modified xsi:type="dcterms:W3CDTF">2026-04-06T20:01:47Z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7C1F62582A1C49B689BA777FF349BCFB_13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